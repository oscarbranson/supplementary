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3548c0b432325cd3/Lara/Cambridge/Articles/vaterite_CrystalGrowth_Mg_Sr_B/"/>
    </mc:Choice>
  </mc:AlternateContent>
  <xr:revisionPtr revIDLastSave="156" documentId="8_{2667D0B2-387E-4C44-ADB0-6CADB8828862}" xr6:coauthVersionLast="47" xr6:coauthVersionMax="47" xr10:uidLastSave="{03A2C5CB-1D7A-4092-8AF3-1C09B360C7FB}"/>
  <bookViews>
    <workbookView xWindow="-90" yWindow="-90" windowWidth="19380" windowHeight="11580" activeTab="3" xr2:uid="{00000000-000D-0000-FFFF-FFFF00000000}"/>
  </bookViews>
  <sheets>
    <sheet name="calibration" sheetId="2" r:id="rId1"/>
    <sheet name="X-Ca ratios" sheetId="3" r:id="rId2"/>
    <sheet name="Summary" sheetId="4" r:id="rId3"/>
    <sheet name="Fractionation factor" sheetId="5" r:id="rId4"/>
    <sheet name="Uchikawa" sheetId="7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13" i="5" l="1"/>
  <c r="AO14" i="5"/>
  <c r="AO15" i="5"/>
  <c r="AO16" i="5"/>
  <c r="AO1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N6" i="5"/>
  <c r="AN7" i="5"/>
  <c r="AN8" i="5"/>
  <c r="AN9" i="5"/>
  <c r="AN10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5" i="5"/>
  <c r="AP20" i="5"/>
  <c r="AI5" i="5"/>
  <c r="AI6" i="5"/>
  <c r="AI7" i="5"/>
  <c r="AI8" i="5"/>
  <c r="AI9" i="5"/>
  <c r="AI10" i="5"/>
  <c r="AI13" i="5"/>
  <c r="AI14" i="5"/>
  <c r="AI15" i="5"/>
  <c r="AI16" i="5"/>
  <c r="AI17" i="5"/>
  <c r="AI20" i="5"/>
  <c r="AI21" i="5"/>
  <c r="AI22" i="5"/>
  <c r="AI23" i="5"/>
  <c r="AI24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" i="5"/>
  <c r="AH21" i="5" l="1"/>
  <c r="AH22" i="5"/>
  <c r="AH23" i="5"/>
  <c r="AH24" i="5"/>
  <c r="AH20" i="5"/>
  <c r="AG14" i="5"/>
  <c r="AG15" i="5"/>
  <c r="AG16" i="5"/>
  <c r="AG1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13" i="5"/>
  <c r="AF5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6" i="5"/>
  <c r="AF7" i="5"/>
  <c r="AF8" i="5"/>
  <c r="AF9" i="5"/>
  <c r="AF10" i="5"/>
  <c r="Z16" i="5"/>
  <c r="P14" i="5"/>
  <c r="AQ14" i="5" s="1"/>
  <c r="Q5" i="5"/>
  <c r="T5" i="5" s="1"/>
  <c r="AJ5" i="5" s="1"/>
  <c r="P4" i="5"/>
  <c r="Y5" i="5"/>
  <c r="P5" i="5"/>
  <c r="AQ5" i="5" s="1"/>
  <c r="P6" i="5"/>
  <c r="AQ6" i="5" s="1"/>
  <c r="P7" i="5"/>
  <c r="AQ7" i="5" s="1"/>
  <c r="P8" i="5"/>
  <c r="AQ8" i="5" s="1"/>
  <c r="P9" i="5"/>
  <c r="AQ9" i="5" s="1"/>
  <c r="P10" i="5"/>
  <c r="AQ10" i="5" s="1"/>
  <c r="P13" i="5"/>
  <c r="AQ13" i="5" s="1"/>
  <c r="P15" i="5"/>
  <c r="AQ15" i="5" s="1"/>
  <c r="P16" i="5"/>
  <c r="AQ16" i="5" s="1"/>
  <c r="P17" i="5"/>
  <c r="AQ17" i="5" s="1"/>
  <c r="P20" i="5"/>
  <c r="AQ20" i="5" s="1"/>
  <c r="P21" i="5"/>
  <c r="AQ21" i="5" s="1"/>
  <c r="P22" i="5"/>
  <c r="AQ22" i="5" s="1"/>
  <c r="P23" i="5"/>
  <c r="AQ23" i="5" s="1"/>
  <c r="P24" i="5"/>
  <c r="AQ24" i="5" s="1"/>
  <c r="P28" i="5"/>
  <c r="AQ28" i="5" s="1"/>
  <c r="P29" i="5"/>
  <c r="AQ29" i="5" s="1"/>
  <c r="P30" i="5"/>
  <c r="AQ30" i="5" s="1"/>
  <c r="P31" i="5"/>
  <c r="AQ31" i="5" s="1"/>
  <c r="P32" i="5"/>
  <c r="AQ32" i="5" s="1"/>
  <c r="P33" i="5"/>
  <c r="AQ33" i="5" s="1"/>
  <c r="P34" i="5"/>
  <c r="AQ34" i="5" s="1"/>
  <c r="P35" i="5"/>
  <c r="AQ35" i="5" s="1"/>
  <c r="P36" i="5"/>
  <c r="AQ36" i="5" s="1"/>
  <c r="P37" i="5"/>
  <c r="AQ37" i="5" s="1"/>
  <c r="P38" i="5"/>
  <c r="AQ38" i="5" s="1"/>
  <c r="P39" i="5"/>
  <c r="AQ39" i="5" s="1"/>
  <c r="AA6" i="7"/>
  <c r="X24" i="7"/>
  <c r="H21" i="5"/>
  <c r="H22" i="5"/>
  <c r="H23" i="5"/>
  <c r="H24" i="5"/>
  <c r="H20" i="5"/>
  <c r="AB7" i="7"/>
  <c r="AB8" i="7"/>
  <c r="AB9" i="7"/>
  <c r="AB10" i="7"/>
  <c r="AB11" i="7"/>
  <c r="AB12" i="7"/>
  <c r="AB13" i="7"/>
  <c r="AB14" i="7"/>
  <c r="AB15" i="7"/>
  <c r="AB21" i="7"/>
  <c r="AB22" i="7"/>
  <c r="AB24" i="7" s="1"/>
  <c r="AB23" i="7"/>
  <c r="AB25" i="7"/>
  <c r="AB26" i="7"/>
  <c r="AB27" i="7"/>
  <c r="AB28" i="7"/>
  <c r="AB29" i="7"/>
  <c r="AB30" i="7"/>
  <c r="AB6" i="7"/>
  <c r="AA7" i="7"/>
  <c r="AA8" i="7"/>
  <c r="AA9" i="7"/>
  <c r="AA10" i="7"/>
  <c r="AA11" i="7"/>
  <c r="AA12" i="7"/>
  <c r="AA13" i="7"/>
  <c r="AA14" i="7"/>
  <c r="AA15" i="7"/>
  <c r="AA21" i="7"/>
  <c r="AA24" i="7" s="1"/>
  <c r="AA22" i="7"/>
  <c r="AA23" i="7"/>
  <c r="AA25" i="7"/>
  <c r="AA26" i="7"/>
  <c r="AA27" i="7"/>
  <c r="AA28" i="7"/>
  <c r="AA29" i="7"/>
  <c r="AA30" i="7"/>
  <c r="Z29" i="5"/>
  <c r="Z30" i="5"/>
  <c r="Z31" i="5"/>
  <c r="Z32" i="5"/>
  <c r="Z33" i="5"/>
  <c r="Z34" i="5"/>
  <c r="Z35" i="5"/>
  <c r="Z36" i="5"/>
  <c r="Z37" i="5"/>
  <c r="Z38" i="5"/>
  <c r="Z39" i="5"/>
  <c r="Z28" i="5"/>
  <c r="Z14" i="5"/>
  <c r="Z15" i="5"/>
  <c r="Z17" i="5"/>
  <c r="Z13" i="5"/>
  <c r="Y34" i="5"/>
  <c r="Y35" i="5"/>
  <c r="Y36" i="5"/>
  <c r="Y37" i="5"/>
  <c r="Y38" i="5"/>
  <c r="Y39" i="5"/>
  <c r="Y33" i="5"/>
  <c r="Y32" i="5"/>
  <c r="Y31" i="5"/>
  <c r="Y30" i="5"/>
  <c r="Y29" i="5"/>
  <c r="Y28" i="5"/>
  <c r="Y6" i="5"/>
  <c r="Y7" i="5"/>
  <c r="Y8" i="5"/>
  <c r="Y9" i="5"/>
  <c r="Y10" i="5"/>
  <c r="R4" i="5"/>
  <c r="I18" i="5"/>
  <c r="S21" i="5"/>
  <c r="V21" i="5" s="1"/>
  <c r="S22" i="5"/>
  <c r="V22" i="5" s="1"/>
  <c r="S23" i="5"/>
  <c r="V23" i="5" s="1"/>
  <c r="S24" i="5"/>
  <c r="V24" i="5" s="1"/>
  <c r="S20" i="5"/>
  <c r="AP23" i="5" l="1"/>
  <c r="W22" i="5"/>
  <c r="AM22" i="5" s="1"/>
  <c r="AP24" i="5"/>
  <c r="AP22" i="5"/>
  <c r="W24" i="5"/>
  <c r="AM24" i="5" s="1"/>
  <c r="AP21" i="5"/>
  <c r="W23" i="5"/>
  <c r="AM23" i="5" s="1"/>
  <c r="V20" i="5"/>
  <c r="AL20" i="5" s="1"/>
  <c r="W21" i="5"/>
  <c r="AM21" i="5" s="1"/>
  <c r="W20" i="5"/>
  <c r="AM20" i="5" s="1"/>
  <c r="R17" i="5"/>
  <c r="U17" i="5" s="1"/>
  <c r="AK17" i="5" s="1"/>
  <c r="R14" i="5"/>
  <c r="U14" i="5" s="1"/>
  <c r="AK14" i="5" s="1"/>
  <c r="Q36" i="5"/>
  <c r="T36" i="5" s="1"/>
  <c r="I25" i="5" l="1"/>
  <c r="I40" i="5"/>
  <c r="Q32" i="5"/>
  <c r="R32" i="5"/>
  <c r="Q33" i="5"/>
  <c r="R33" i="5"/>
  <c r="Q34" i="5"/>
  <c r="R34" i="5"/>
  <c r="Q35" i="5"/>
  <c r="R35" i="5"/>
  <c r="I11" i="5"/>
  <c r="U34" i="5" l="1"/>
  <c r="AK34" i="5" s="1"/>
  <c r="T33" i="5"/>
  <c r="AJ33" i="5" s="1"/>
  <c r="T35" i="5"/>
  <c r="U33" i="5"/>
  <c r="AK33" i="5" s="1"/>
  <c r="U32" i="5"/>
  <c r="AK32" i="5" s="1"/>
  <c r="T32" i="5"/>
  <c r="AJ32" i="5" s="1"/>
  <c r="T34" i="5"/>
  <c r="U35" i="5"/>
  <c r="AL21" i="5"/>
  <c r="AL22" i="5"/>
  <c r="AL23" i="5"/>
  <c r="AL24" i="5"/>
  <c r="AJ34" i="5" l="1"/>
  <c r="AJ35" i="5"/>
  <c r="AK35" i="5"/>
  <c r="AB7" i="3"/>
  <c r="AB8" i="3"/>
  <c r="AB9" i="3"/>
  <c r="AB10" i="3"/>
  <c r="AA12" i="3"/>
  <c r="AB12" i="3"/>
  <c r="M7" i="3" l="1"/>
  <c r="S7" i="3"/>
  <c r="AK7" i="3"/>
  <c r="M8" i="3"/>
  <c r="N8" i="3"/>
  <c r="U8" i="3" s="1"/>
  <c r="M9" i="3"/>
  <c r="N9" i="3"/>
  <c r="U9" i="3" s="1"/>
  <c r="M10" i="3"/>
  <c r="N10" i="3"/>
  <c r="U10" i="3" s="1"/>
  <c r="M11" i="3"/>
  <c r="N11" i="3"/>
  <c r="U11" i="3" s="1"/>
  <c r="M12" i="3"/>
  <c r="N12" i="3"/>
  <c r="U12" i="3" s="1"/>
  <c r="M13" i="3"/>
  <c r="N13" i="3"/>
  <c r="U13" i="3" s="1"/>
  <c r="M14" i="3"/>
  <c r="N14" i="3"/>
  <c r="U14" i="3" s="1"/>
  <c r="M15" i="3"/>
  <c r="N15" i="3"/>
  <c r="U15" i="3" s="1"/>
  <c r="M16" i="3"/>
  <c r="N16" i="3"/>
  <c r="U16" i="3" s="1"/>
  <c r="M17" i="3"/>
  <c r="N17" i="3"/>
  <c r="U17" i="3" s="1"/>
  <c r="N7" i="3"/>
  <c r="U7" i="3" s="1"/>
  <c r="O7" i="3"/>
  <c r="O12" i="3"/>
  <c r="W8" i="2"/>
  <c r="W9" i="2"/>
  <c r="W10" i="2"/>
  <c r="W7" i="2"/>
  <c r="V8" i="2"/>
  <c r="V9" i="2"/>
  <c r="V10" i="2"/>
  <c r="V7" i="2"/>
  <c r="T7" i="2"/>
  <c r="S7" i="2"/>
  <c r="Q7" i="2"/>
  <c r="P7" i="2"/>
  <c r="N7" i="2"/>
  <c r="R36" i="5" l="1"/>
  <c r="U36" i="5" s="1"/>
  <c r="Q37" i="5"/>
  <c r="T37" i="5" s="1"/>
  <c r="R37" i="5"/>
  <c r="U37" i="5" s="1"/>
  <c r="Q38" i="5"/>
  <c r="R38" i="5"/>
  <c r="U38" i="5" s="1"/>
  <c r="Q39" i="5"/>
  <c r="T39" i="5" s="1"/>
  <c r="R39" i="5"/>
  <c r="U39" i="5" s="1"/>
  <c r="Q28" i="5"/>
  <c r="AJ36" i="5"/>
  <c r="T28" i="5" l="1"/>
  <c r="T38" i="5"/>
  <c r="AJ38" i="5" s="1"/>
  <c r="AJ37" i="5"/>
  <c r="AJ39" i="5"/>
  <c r="AK39" i="5"/>
  <c r="AK38" i="5"/>
  <c r="AK37" i="5"/>
  <c r="AK36" i="5"/>
  <c r="O15" i="3"/>
  <c r="R13" i="5" l="1"/>
  <c r="U13" i="5" s="1"/>
  <c r="AK13" i="5" s="1"/>
  <c r="R15" i="5"/>
  <c r="U15" i="5" s="1"/>
  <c r="AK15" i="5" s="1"/>
  <c r="R16" i="5"/>
  <c r="U16" i="5" s="1"/>
  <c r="AK16" i="5" s="1"/>
  <c r="R28" i="5"/>
  <c r="U28" i="5" s="1"/>
  <c r="R29" i="5"/>
  <c r="U29" i="5" s="1"/>
  <c r="R30" i="5"/>
  <c r="U30" i="5" s="1"/>
  <c r="R31" i="5"/>
  <c r="U31" i="5" s="1"/>
  <c r="AJ28" i="5"/>
  <c r="Q29" i="5"/>
  <c r="T29" i="5" s="1"/>
  <c r="Q30" i="5"/>
  <c r="T30" i="5" s="1"/>
  <c r="Q31" i="5"/>
  <c r="Q8" i="5"/>
  <c r="T8" i="5" s="1"/>
  <c r="AJ8" i="5" s="1"/>
  <c r="Q9" i="5"/>
  <c r="T9" i="5" s="1"/>
  <c r="AJ9" i="5" s="1"/>
  <c r="Q10" i="5"/>
  <c r="T10" i="5" s="1"/>
  <c r="AJ10" i="5" s="1"/>
  <c r="T31" i="5" l="1"/>
  <c r="AJ31" i="5" s="1"/>
  <c r="AJ30" i="5"/>
  <c r="AJ29" i="5"/>
  <c r="AK31" i="5"/>
  <c r="AK30" i="5"/>
  <c r="AK29" i="5"/>
  <c r="AK28" i="5"/>
  <c r="Q7" i="5" l="1"/>
  <c r="T7" i="5" s="1"/>
  <c r="AJ7" i="5" s="1"/>
  <c r="Q6" i="5"/>
  <c r="T6" i="5" s="1"/>
  <c r="AJ6" i="5" s="1"/>
  <c r="C4" i="5"/>
  <c r="P12" i="3" l="1"/>
  <c r="Q12" i="3"/>
  <c r="R12" i="3"/>
  <c r="S12" i="3"/>
  <c r="O13" i="3"/>
  <c r="P13" i="3"/>
  <c r="Q13" i="3"/>
  <c r="R13" i="3"/>
  <c r="S13" i="3"/>
  <c r="O14" i="3"/>
  <c r="P14" i="3"/>
  <c r="Q14" i="3"/>
  <c r="R14" i="3"/>
  <c r="S14" i="3"/>
  <c r="P15" i="3"/>
  <c r="Q15" i="3"/>
  <c r="R15" i="3"/>
  <c r="S15" i="3"/>
  <c r="O16" i="3"/>
  <c r="P16" i="3"/>
  <c r="Q16" i="3"/>
  <c r="R16" i="3"/>
  <c r="S16" i="3"/>
  <c r="O17" i="3"/>
  <c r="P17" i="3"/>
  <c r="Q17" i="3"/>
  <c r="R17" i="3"/>
  <c r="S17" i="3"/>
  <c r="S8" i="3"/>
  <c r="S9" i="3"/>
  <c r="S10" i="3"/>
  <c r="S11" i="3"/>
  <c r="R7" i="3"/>
  <c r="Q7" i="3"/>
  <c r="P7" i="3"/>
  <c r="P8" i="3"/>
  <c r="Q8" i="3"/>
  <c r="R8" i="3"/>
  <c r="P9" i="3"/>
  <c r="Q9" i="3"/>
  <c r="R9" i="3"/>
  <c r="P10" i="3"/>
  <c r="Q10" i="3"/>
  <c r="R10" i="3"/>
  <c r="P11" i="3"/>
  <c r="Q11" i="3"/>
  <c r="R11" i="3"/>
  <c r="O8" i="3"/>
  <c r="O9" i="3"/>
  <c r="O10" i="3"/>
  <c r="O11" i="3"/>
  <c r="AK10" i="3"/>
  <c r="AH10" i="3"/>
  <c r="AE10" i="3"/>
  <c r="AK9" i="3"/>
  <c r="AH9" i="3"/>
  <c r="AE9" i="3"/>
  <c r="AK8" i="3"/>
  <c r="AH8" i="3"/>
  <c r="AE8" i="3"/>
  <c r="AH7" i="3"/>
  <c r="AE7" i="3"/>
  <c r="P8" i="2"/>
  <c r="Q8" i="2"/>
  <c r="S8" i="2"/>
  <c r="T8" i="2"/>
  <c r="P9" i="2"/>
  <c r="Q9" i="2"/>
  <c r="S9" i="2"/>
  <c r="T9" i="2"/>
  <c r="P10" i="2"/>
  <c r="Q10" i="2"/>
  <c r="S10" i="2"/>
  <c r="T10" i="2"/>
  <c r="N10" i="2"/>
  <c r="N8" i="2"/>
  <c r="N9" i="2"/>
  <c r="AD12" i="3" l="1" a="1"/>
  <c r="AD12" i="3" s="1"/>
  <c r="AE12" i="3"/>
  <c r="AJ12" i="3"/>
  <c r="AK12" i="3"/>
  <c r="AG12" i="3" a="1"/>
  <c r="AG12" i="3" s="1"/>
  <c r="AH12" i="3"/>
  <c r="W11" i="3" l="1"/>
  <c r="W10" i="3"/>
  <c r="W9" i="3"/>
  <c r="W8" i="3"/>
  <c r="W7" i="3"/>
  <c r="W17" i="3"/>
  <c r="W16" i="3"/>
  <c r="W15" i="3"/>
  <c r="W14" i="3"/>
  <c r="W13" i="3"/>
  <c r="W12" i="3"/>
  <c r="X7" i="3"/>
  <c r="X11" i="3"/>
  <c r="X10" i="3"/>
  <c r="X9" i="3"/>
  <c r="X8" i="3"/>
  <c r="X17" i="3"/>
  <c r="X16" i="3"/>
  <c r="X15" i="3"/>
  <c r="X14" i="3"/>
  <c r="X13" i="3"/>
  <c r="X12" i="3"/>
  <c r="V12" i="3"/>
  <c r="V7" i="3"/>
  <c r="V15" i="3"/>
  <c r="V11" i="3"/>
  <c r="V10" i="3"/>
  <c r="V9" i="3"/>
  <c r="V8" i="3"/>
  <c r="V17" i="3"/>
  <c r="V16" i="3"/>
  <c r="V14" i="3"/>
  <c r="V13" i="3"/>
</calcChain>
</file>

<file path=xl/sharedStrings.xml><?xml version="1.0" encoding="utf-8"?>
<sst xmlns="http://schemas.openxmlformats.org/spreadsheetml/2006/main" count="374" uniqueCount="155">
  <si>
    <t>corrected for blank</t>
  </si>
  <si>
    <t>Raw.Average</t>
  </si>
  <si>
    <t>10B</t>
  </si>
  <si>
    <t>11B</t>
  </si>
  <si>
    <t>23Na</t>
  </si>
  <si>
    <t>24Mg</t>
  </si>
  <si>
    <t>25Mg</t>
  </si>
  <si>
    <t>43Ca</t>
  </si>
  <si>
    <t>44Ca</t>
  </si>
  <si>
    <t>87Sr</t>
  </si>
  <si>
    <t>88Sr</t>
  </si>
  <si>
    <t>23Na/44Ca</t>
  </si>
  <si>
    <t>24Mg/44Ca</t>
  </si>
  <si>
    <t>25Mg/44Ca</t>
  </si>
  <si>
    <t>87Sr/44Ca</t>
  </si>
  <si>
    <t>88Sr/44Ca</t>
  </si>
  <si>
    <t>10B/44Ca</t>
  </si>
  <si>
    <t>11B/44Ca</t>
  </si>
  <si>
    <t>t</t>
  </si>
  <si>
    <t>Y (cps)</t>
  </si>
  <si>
    <t>BLANK</t>
  </si>
  <si>
    <t>Na/Ca  mmol/mol</t>
  </si>
  <si>
    <t>Mg/Ca  mmol/mol</t>
  </si>
  <si>
    <t>Sr/Ca  mmol/mol</t>
  </si>
  <si>
    <t>B/Ca  μmol/mol</t>
  </si>
  <si>
    <t>STD 1</t>
  </si>
  <si>
    <t>STD 3</t>
  </si>
  <si>
    <t>STD 5</t>
  </si>
  <si>
    <t>STD 7</t>
  </si>
  <si>
    <t>Correction for blank</t>
  </si>
  <si>
    <t>Na/44Ca</t>
  </si>
  <si>
    <t>Y (cps) / Y (cps)</t>
  </si>
  <si>
    <r>
      <t xml:space="preserve">  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mol/mol</t>
    </r>
  </si>
  <si>
    <t xml:space="preserve">  mmol/mol</t>
  </si>
  <si>
    <t>LSR</t>
  </si>
  <si>
    <t>11B /44Ca</t>
  </si>
  <si>
    <t>sample</t>
  </si>
  <si>
    <t>blank</t>
  </si>
  <si>
    <t>seed</t>
  </si>
  <si>
    <t>solution</t>
  </si>
  <si>
    <t>precipitates</t>
  </si>
  <si>
    <r>
      <rPr>
        <b/>
        <i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(Mg) </t>
    </r>
  </si>
  <si>
    <t>Mg/Ca</t>
  </si>
  <si>
    <r>
      <rPr>
        <b/>
        <i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(Sr) </t>
    </r>
  </si>
  <si>
    <t>Sr/Ca</t>
  </si>
  <si>
    <t xml:space="preserve">Na/Ca </t>
  </si>
  <si>
    <t xml:space="preserve">Mg/Ca </t>
  </si>
  <si>
    <t xml:space="preserve">Sr/Ca </t>
  </si>
  <si>
    <r>
      <t>D</t>
    </r>
    <r>
      <rPr>
        <vertAlign val="subscript"/>
        <sz val="10"/>
        <color rgb="FF0000FF"/>
        <rFont val="Arial"/>
        <family val="2"/>
      </rPr>
      <t>Mg2+</t>
    </r>
    <r>
      <rPr>
        <vertAlign val="superscript"/>
        <sz val="10"/>
        <color rgb="FF0000FF"/>
        <rFont val="Arial"/>
        <family val="2"/>
      </rPr>
      <t>V</t>
    </r>
  </si>
  <si>
    <r>
      <t>D</t>
    </r>
    <r>
      <rPr>
        <vertAlign val="subscript"/>
        <sz val="10"/>
        <color rgb="FF0000FF"/>
        <rFont val="Arial"/>
        <family val="2"/>
      </rPr>
      <t>Sr2+</t>
    </r>
    <r>
      <rPr>
        <vertAlign val="superscript"/>
        <sz val="10"/>
        <color rgb="FF0000FF"/>
        <rFont val="Arial"/>
        <family val="2"/>
      </rPr>
      <t>V</t>
    </r>
  </si>
  <si>
    <t>mmol/L</t>
  </si>
  <si>
    <t>mmol/mol</t>
  </si>
  <si>
    <r>
      <rPr>
        <b/>
        <i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(B) </t>
    </r>
  </si>
  <si>
    <t>B/Ca</t>
  </si>
  <si>
    <t xml:space="preserve">B/Ca </t>
  </si>
  <si>
    <t>43_1</t>
  </si>
  <si>
    <t>43_2</t>
  </si>
  <si>
    <t>44_1</t>
  </si>
  <si>
    <t>44_2</t>
  </si>
  <si>
    <t>45_1</t>
  </si>
  <si>
    <t>45_2</t>
  </si>
  <si>
    <t>46_1</t>
  </si>
  <si>
    <t>46_2</t>
  </si>
  <si>
    <t>47_1</t>
  </si>
  <si>
    <t>47_2</t>
  </si>
  <si>
    <r>
      <t>f</t>
    </r>
    <r>
      <rPr>
        <b/>
        <vertAlign val="subscript"/>
        <sz val="11"/>
        <rFont val="Calibri"/>
        <family val="2"/>
      </rPr>
      <t>OG</t>
    </r>
  </si>
  <si>
    <t>Mean</t>
  </si>
  <si>
    <t>correction for vaterite</t>
  </si>
  <si>
    <r>
      <t>F</t>
    </r>
    <r>
      <rPr>
        <b/>
        <vertAlign val="subscript"/>
        <sz val="11"/>
        <rFont val="Calibri"/>
        <family val="2"/>
      </rPr>
      <t>OG</t>
    </r>
  </si>
  <si>
    <r>
      <t>D</t>
    </r>
    <r>
      <rPr>
        <vertAlign val="subscript"/>
        <sz val="10"/>
        <color rgb="FF0000FF"/>
        <rFont val="Arial"/>
        <family val="2"/>
      </rPr>
      <t>B</t>
    </r>
    <r>
      <rPr>
        <vertAlign val="superscript"/>
        <sz val="10"/>
        <color rgb="FF0000FF"/>
        <rFont val="Arial"/>
        <family val="2"/>
      </rPr>
      <t>V</t>
    </r>
  </si>
  <si>
    <t>overgrowth (o.g.)</t>
  </si>
  <si>
    <r>
      <rPr>
        <b/>
        <i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(Na) </t>
    </r>
  </si>
  <si>
    <r>
      <t>D</t>
    </r>
    <r>
      <rPr>
        <vertAlign val="subscript"/>
        <sz val="10"/>
        <color rgb="FF0000FF"/>
        <rFont val="Arial"/>
        <family val="2"/>
      </rPr>
      <t>Mg2+</t>
    </r>
    <r>
      <rPr>
        <vertAlign val="superscript"/>
        <sz val="10"/>
        <color rgb="FF0000FF"/>
        <rFont val="Arial"/>
        <family val="2"/>
      </rPr>
      <t>C</t>
    </r>
  </si>
  <si>
    <r>
      <t>D</t>
    </r>
    <r>
      <rPr>
        <vertAlign val="subscript"/>
        <sz val="10"/>
        <color rgb="FF0000FF"/>
        <rFont val="Arial"/>
        <family val="2"/>
      </rPr>
      <t>Sr2+</t>
    </r>
    <r>
      <rPr>
        <vertAlign val="superscript"/>
        <sz val="10"/>
        <color rgb="FF0000FF"/>
        <rFont val="Arial"/>
        <family val="2"/>
      </rPr>
      <t>C</t>
    </r>
  </si>
  <si>
    <r>
      <t>Mg</t>
    </r>
    <r>
      <rPr>
        <vertAlign val="superscript"/>
        <sz val="10"/>
        <color rgb="FF0000FF"/>
        <rFont val="Arial"/>
        <family val="2"/>
      </rPr>
      <t>2+</t>
    </r>
    <r>
      <rPr>
        <sz val="10"/>
        <color rgb="FF0000FF"/>
        <rFont val="Arial"/>
        <family val="2"/>
        <charset val="1"/>
      </rPr>
      <t xml:space="preserve"> / Ca</t>
    </r>
    <r>
      <rPr>
        <vertAlign val="superscript"/>
        <sz val="10"/>
        <color rgb="FF0000FF"/>
        <rFont val="Arial"/>
        <family val="2"/>
      </rPr>
      <t>2+</t>
    </r>
  </si>
  <si>
    <r>
      <t>Sr</t>
    </r>
    <r>
      <rPr>
        <vertAlign val="superscript"/>
        <sz val="10"/>
        <color rgb="FF0000FF"/>
        <rFont val="Arial"/>
        <family val="2"/>
      </rPr>
      <t>2+</t>
    </r>
    <r>
      <rPr>
        <sz val="10"/>
        <color rgb="FF0000FF"/>
        <rFont val="Arial"/>
        <family val="2"/>
        <charset val="1"/>
      </rPr>
      <t xml:space="preserve"> / Ca</t>
    </r>
    <r>
      <rPr>
        <vertAlign val="superscript"/>
        <sz val="10"/>
        <color rgb="FF0000FF"/>
        <rFont val="Arial"/>
        <family val="2"/>
      </rPr>
      <t>2+</t>
    </r>
  </si>
  <si>
    <r>
      <t>D</t>
    </r>
    <r>
      <rPr>
        <vertAlign val="subscript"/>
        <sz val="10"/>
        <color rgb="FF0000FF"/>
        <rFont val="Arial"/>
        <family val="2"/>
      </rPr>
      <t>Mg2+</t>
    </r>
  </si>
  <si>
    <r>
      <t>D</t>
    </r>
    <r>
      <rPr>
        <vertAlign val="subscript"/>
        <sz val="10"/>
        <color rgb="FF0000FF"/>
        <rFont val="Arial"/>
        <family val="2"/>
      </rPr>
      <t>Sr2+</t>
    </r>
  </si>
  <si>
    <r>
      <t>B</t>
    </r>
    <r>
      <rPr>
        <b/>
        <vertAlign val="sub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/DIC</t>
    </r>
  </si>
  <si>
    <t>pH</t>
  </si>
  <si>
    <r>
      <t>[ B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]</t>
    </r>
  </si>
  <si>
    <r>
      <t>[ B(OH)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]</t>
    </r>
  </si>
  <si>
    <t>[ DIC ]</t>
  </si>
  <si>
    <r>
      <t>[ 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]</t>
    </r>
    <r>
      <rPr>
        <vertAlign val="subscript"/>
        <sz val="11"/>
        <color theme="1"/>
        <rFont val="Calibri"/>
        <family val="2"/>
        <scheme val="minor"/>
      </rPr>
      <t>Total</t>
    </r>
  </si>
  <si>
    <r>
      <t>[ 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 xml:space="preserve">2- </t>
    </r>
    <r>
      <rPr>
        <sz val="11"/>
        <color theme="1"/>
        <rFont val="Calibri"/>
        <family val="2"/>
        <scheme val="minor"/>
      </rPr>
      <t>]</t>
    </r>
    <r>
      <rPr>
        <vertAlign val="subscript"/>
        <sz val="11"/>
        <color theme="1"/>
        <rFont val="Calibri"/>
        <family val="2"/>
        <scheme val="minor"/>
      </rPr>
      <t>Total</t>
    </r>
  </si>
  <si>
    <r>
      <t>[ Ca</t>
    </r>
    <r>
      <rPr>
        <vertAlign val="superscript"/>
        <sz val="11"/>
        <color theme="1"/>
        <rFont val="Calibri"/>
        <family val="2"/>
        <scheme val="minor"/>
      </rPr>
      <t xml:space="preserve">2+ </t>
    </r>
    <r>
      <rPr>
        <sz val="11"/>
        <color theme="1"/>
        <rFont val="Calibri"/>
        <family val="2"/>
        <scheme val="minor"/>
      </rPr>
      <t>]</t>
    </r>
  </si>
  <si>
    <r>
      <t>SI</t>
    </r>
    <r>
      <rPr>
        <i/>
        <vertAlign val="subscript"/>
        <sz val="11"/>
        <color theme="1"/>
        <rFont val="Calibri"/>
        <family val="2"/>
        <scheme val="minor"/>
      </rPr>
      <t>Calcite</t>
    </r>
  </si>
  <si>
    <t>Ion. Strength</t>
  </si>
  <si>
    <t>Exp. Duration</t>
  </si>
  <si>
    <t>Sample ID</t>
  </si>
  <si>
    <t>(NBS)</t>
  </si>
  <si>
    <r>
      <t>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mol/kg)</t>
    </r>
  </si>
  <si>
    <t>Index</t>
  </si>
  <si>
    <t>(mol/kg)</t>
  </si>
  <si>
    <t>(sec)</t>
  </si>
  <si>
    <t xml:space="preserve">DIC Experiments </t>
  </si>
  <si>
    <t>Exp. 13A</t>
  </si>
  <si>
    <t>Exp. 13B</t>
  </si>
  <si>
    <t>Exp. 13C</t>
  </si>
  <si>
    <t>Exp. 13D</t>
  </si>
  <si>
    <t>Exp. 12A</t>
  </si>
  <si>
    <t>Exp. 12B</t>
  </si>
  <si>
    <t>Exp. 12C</t>
  </si>
  <si>
    <t>Exp. 11A</t>
  </si>
  <si>
    <t>Exp. 11B</t>
  </si>
  <si>
    <t>Exp. 11C</t>
  </si>
  <si>
    <t xml:space="preserve">Ca Experiments </t>
  </si>
  <si>
    <t>Exp. 19A</t>
  </si>
  <si>
    <t>Exp. 19B</t>
  </si>
  <si>
    <t>Exp. 19C</t>
  </si>
  <si>
    <t>Exp. 17A</t>
  </si>
  <si>
    <t>Exp. 17B</t>
  </si>
  <si>
    <t>Exp. 17C</t>
  </si>
  <si>
    <t>Exp. 16A</t>
  </si>
  <si>
    <t>Exp. 16B</t>
  </si>
  <si>
    <t>Exp. 16C</t>
  </si>
  <si>
    <t>Sample</t>
  </si>
  <si>
    <t>Mass-based</t>
  </si>
  <si>
    <r>
      <rPr>
        <sz val="11"/>
        <color theme="1"/>
        <rFont val="Calibri"/>
        <family val="2"/>
      </rPr>
      <t>δ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C-based</t>
    </r>
  </si>
  <si>
    <t>Collection</t>
  </si>
  <si>
    <r>
      <t>f</t>
    </r>
    <r>
      <rPr>
        <vertAlign val="subscript"/>
        <sz val="11"/>
        <color theme="1"/>
        <rFont val="Calibri"/>
        <family val="2"/>
        <scheme val="minor"/>
      </rPr>
      <t>OG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</si>
  <si>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Sample</t>
    </r>
  </si>
  <si>
    <r>
      <t>2</t>
    </r>
    <r>
      <rPr>
        <sz val="11"/>
        <color theme="1"/>
        <rFont val="Calibri"/>
        <family val="2"/>
      </rPr>
      <t>σ S.D.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</si>
  <si>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i/>
        <sz val="11"/>
        <color theme="1"/>
        <rFont val="Calibri"/>
        <family val="2"/>
        <scheme val="minor"/>
      </rPr>
      <t>R</t>
    </r>
  </si>
  <si>
    <r>
      <t xml:space="preserve">B/Ca </t>
    </r>
    <r>
      <rPr>
        <vertAlign val="subscript"/>
        <sz val="11"/>
        <color theme="1"/>
        <rFont val="Calibri"/>
        <family val="2"/>
        <scheme val="minor"/>
      </rPr>
      <t>Sample</t>
    </r>
  </si>
  <si>
    <r>
      <t xml:space="preserve">B/Ca </t>
    </r>
    <r>
      <rPr>
        <vertAlign val="subscript"/>
        <sz val="11"/>
        <color theme="1"/>
        <rFont val="Calibri"/>
        <family val="2"/>
        <scheme val="minor"/>
      </rPr>
      <t>OG</t>
    </r>
  </si>
  <si>
    <t>( mg )</t>
  </si>
  <si>
    <t>( % )</t>
  </si>
  <si>
    <t>( ‰, VPDB )</t>
  </si>
  <si>
    <t>±</t>
  </si>
  <si>
    <r>
      <t>(mol/m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/sec)</t>
    </r>
  </si>
  <si>
    <t>( μmol/mol )</t>
  </si>
  <si>
    <r>
      <t xml:space="preserve">Exp. 19A </t>
    </r>
    <r>
      <rPr>
        <sz val="11"/>
        <color rgb="FFFF0000"/>
        <rFont val="Calibri"/>
        <family val="2"/>
        <scheme val="minor"/>
      </rPr>
      <t>‡</t>
    </r>
  </si>
  <si>
    <r>
      <t xml:space="preserve">Exp. 19B </t>
    </r>
    <r>
      <rPr>
        <sz val="11"/>
        <color rgb="FFFF0000"/>
        <rFont val="Calibri"/>
        <family val="2"/>
        <scheme val="minor"/>
      </rPr>
      <t>‡</t>
    </r>
  </si>
  <si>
    <r>
      <t xml:space="preserve">Exp. 19C </t>
    </r>
    <r>
      <rPr>
        <sz val="11"/>
        <color rgb="FFFF0000"/>
        <rFont val="Calibri"/>
        <family val="2"/>
        <scheme val="minor"/>
      </rPr>
      <t>‡</t>
    </r>
  </si>
  <si>
    <r>
      <t>K</t>
    </r>
    <r>
      <rPr>
        <vertAlign val="subscript"/>
        <sz val="11"/>
        <color theme="1"/>
        <rFont val="Calibri"/>
        <family val="2"/>
        <scheme val="minor"/>
      </rPr>
      <t>B</t>
    </r>
  </si>
  <si>
    <r>
      <t>λ</t>
    </r>
    <r>
      <rPr>
        <vertAlign val="superscript"/>
        <sz val="11"/>
        <color theme="1"/>
        <rFont val="Calibri"/>
        <family val="2"/>
        <scheme val="minor"/>
      </rPr>
      <t>BT</t>
    </r>
    <r>
      <rPr>
        <vertAlign val="subscript"/>
        <sz val="11"/>
        <color theme="1"/>
        <rFont val="Calibri"/>
        <family val="2"/>
        <scheme val="minor"/>
      </rPr>
      <t>DIC</t>
    </r>
  </si>
  <si>
    <r>
      <t>D</t>
    </r>
    <r>
      <rPr>
        <vertAlign val="subscript"/>
        <sz val="10"/>
        <color rgb="FF0000FF"/>
        <rFont val="Arial"/>
        <family val="2"/>
      </rPr>
      <t xml:space="preserve">B </t>
    </r>
    <r>
      <rPr>
        <sz val="10"/>
        <color rgb="FF0000FF"/>
        <rFont val="Arial"/>
        <family val="2"/>
      </rPr>
      <t>= K</t>
    </r>
    <r>
      <rPr>
        <vertAlign val="subscript"/>
        <sz val="10"/>
        <color rgb="FF0000FF"/>
        <rFont val="Arial"/>
        <family val="2"/>
      </rPr>
      <t>B</t>
    </r>
  </si>
  <si>
    <r>
      <t>D</t>
    </r>
    <r>
      <rPr>
        <vertAlign val="subscript"/>
        <sz val="10"/>
        <color rgb="FF0000FF"/>
        <rFont val="Arial"/>
        <family val="2"/>
      </rPr>
      <t>B</t>
    </r>
    <r>
      <rPr>
        <vertAlign val="superscript"/>
        <sz val="10"/>
        <color rgb="FF0000FF"/>
        <rFont val="Arial"/>
        <family val="2"/>
      </rPr>
      <t xml:space="preserve">C </t>
    </r>
  </si>
  <si>
    <r>
      <t>λ</t>
    </r>
    <r>
      <rPr>
        <vertAlign val="superscript"/>
        <sz val="11"/>
        <color rgb="FF0000FF"/>
        <rFont val="Calibri"/>
        <family val="2"/>
        <scheme val="minor"/>
      </rPr>
      <t>BT</t>
    </r>
    <r>
      <rPr>
        <vertAlign val="subscript"/>
        <sz val="11"/>
        <color rgb="FF0000FF"/>
        <rFont val="Calibri"/>
        <family val="2"/>
        <scheme val="minor"/>
      </rPr>
      <t>DIC</t>
    </r>
  </si>
  <si>
    <r>
      <t>λ</t>
    </r>
    <r>
      <rPr>
        <vertAlign val="superscript"/>
        <sz val="11"/>
        <color rgb="FF0000FF"/>
        <rFont val="Calibri"/>
        <family val="2"/>
        <scheme val="minor"/>
      </rPr>
      <t>BT</t>
    </r>
    <r>
      <rPr>
        <vertAlign val="subscript"/>
        <sz val="11"/>
        <color rgb="FF0000FF"/>
        <rFont val="Calibri"/>
        <family val="2"/>
        <scheme val="minor"/>
      </rPr>
      <t>DIC</t>
    </r>
    <r>
      <rPr>
        <vertAlign val="superscript"/>
        <sz val="11"/>
        <color rgb="FF0000FF"/>
        <rFont val="Calibri"/>
        <family val="2"/>
        <scheme val="minor"/>
      </rPr>
      <t>C</t>
    </r>
  </si>
  <si>
    <r>
      <t>λ</t>
    </r>
    <r>
      <rPr>
        <vertAlign val="superscript"/>
        <sz val="11"/>
        <color rgb="FF0000FF"/>
        <rFont val="Calibri"/>
        <family val="2"/>
        <scheme val="minor"/>
      </rPr>
      <t>BT</t>
    </r>
    <r>
      <rPr>
        <vertAlign val="subscript"/>
        <sz val="11"/>
        <color rgb="FF0000FF"/>
        <rFont val="Calibri"/>
        <family val="2"/>
        <scheme val="minor"/>
      </rPr>
      <t>DIC</t>
    </r>
    <r>
      <rPr>
        <vertAlign val="superscript"/>
        <sz val="11"/>
        <color rgb="FF0000FF"/>
        <rFont val="Calibri"/>
        <family val="2"/>
        <scheme val="minor"/>
      </rPr>
      <t>V</t>
    </r>
  </si>
  <si>
    <r>
      <t>(B/Ca)</t>
    </r>
    <r>
      <rPr>
        <vertAlign val="subscript"/>
        <sz val="10"/>
        <color rgb="FF0000FF"/>
        <rFont val="Arial"/>
        <family val="2"/>
      </rPr>
      <t>V</t>
    </r>
  </si>
  <si>
    <r>
      <t>(B/Ca)</t>
    </r>
    <r>
      <rPr>
        <vertAlign val="subscript"/>
        <sz val="10"/>
        <color rgb="FF0000FF"/>
        <rFont val="Arial"/>
        <family val="2"/>
      </rPr>
      <t>C</t>
    </r>
  </si>
  <si>
    <r>
      <t>(Na/Ca)</t>
    </r>
    <r>
      <rPr>
        <vertAlign val="subscript"/>
        <sz val="10"/>
        <color rgb="FF0000FF"/>
        <rFont val="Arial"/>
        <family val="2"/>
      </rPr>
      <t>C</t>
    </r>
  </si>
  <si>
    <r>
      <t>(Na/Ca)</t>
    </r>
    <r>
      <rPr>
        <vertAlign val="subscript"/>
        <sz val="10"/>
        <color rgb="FF0000FF"/>
        <rFont val="Arial"/>
        <family val="2"/>
      </rPr>
      <t>V</t>
    </r>
  </si>
  <si>
    <t>Mucci &amp; Morse</t>
  </si>
  <si>
    <r>
      <t>D</t>
    </r>
    <r>
      <rPr>
        <vertAlign val="subscript"/>
        <sz val="10"/>
        <color rgb="FF0000FF"/>
        <rFont val="Arial"/>
        <family val="2"/>
      </rPr>
      <t>Na</t>
    </r>
    <r>
      <rPr>
        <vertAlign val="superscript"/>
        <sz val="10"/>
        <color rgb="FF0000FF"/>
        <rFont val="Arial"/>
        <family val="2"/>
      </rPr>
      <t xml:space="preserve">C </t>
    </r>
  </si>
  <si>
    <t>Morse &amp; Bender</t>
  </si>
  <si>
    <t>Kawabata</t>
  </si>
  <si>
    <t>Uchikawa</t>
  </si>
  <si>
    <r>
      <t>(Mg/Ca)</t>
    </r>
    <r>
      <rPr>
        <vertAlign val="subscript"/>
        <sz val="10"/>
        <color rgb="FF0000FF"/>
        <rFont val="Arial"/>
        <family val="2"/>
      </rPr>
      <t>C</t>
    </r>
  </si>
  <si>
    <r>
      <t>(Sr/Ca)</t>
    </r>
    <r>
      <rPr>
        <vertAlign val="subscript"/>
        <sz val="10"/>
        <color rgb="FF0000FF"/>
        <rFont val="Arial"/>
        <family val="2"/>
      </rPr>
      <t>C</t>
    </r>
  </si>
  <si>
    <r>
      <t>(Mg/Ca)</t>
    </r>
    <r>
      <rPr>
        <vertAlign val="subscript"/>
        <sz val="10"/>
        <color rgb="FF0000FF"/>
        <rFont val="Arial"/>
        <family val="2"/>
      </rPr>
      <t>V</t>
    </r>
  </si>
  <si>
    <r>
      <t>(Sr/Ca)</t>
    </r>
    <r>
      <rPr>
        <vertAlign val="subscript"/>
        <sz val="10"/>
        <color rgb="FF0000FF"/>
        <rFont val="Arial"/>
        <family val="2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</si>
</sst>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#,##0.0"/>
    <numFmt numFmtId="168" formatCode="0.00000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vertAlign val="subscript"/>
      <sz val="10"/>
      <color rgb="FF0000FF"/>
      <name val="Arial"/>
      <family val="2"/>
    </font>
    <font>
      <vertAlign val="superscript"/>
      <sz val="10"/>
      <color rgb="FF0000FF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vertAlign val="subscript"/>
      <sz val="11"/>
      <name val="Calibri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0"/>
      <color rgb="FF0000FF"/>
      <name val="Arial"/>
      <family val="2"/>
    </font>
    <font>
      <vertAlign val="superscript"/>
      <sz val="11"/>
      <color rgb="FF0000FF"/>
      <name val="Calibri"/>
      <family val="2"/>
      <scheme val="minor"/>
    </font>
    <font>
      <vertAlign val="subscript"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8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5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65" fontId="8" fillId="0" borderId="0" xfId="2" applyNumberFormat="1" applyFont="1" applyAlignment="1">
      <alignment horizontal="center"/>
    </xf>
    <xf numFmtId="165" fontId="8" fillId="0" borderId="2" xfId="2" applyNumberFormat="1" applyFont="1" applyBorder="1" applyAlignment="1">
      <alignment horizontal="center"/>
    </xf>
    <xf numFmtId="1" fontId="7" fillId="0" borderId="0" xfId="2" applyNumberFormat="1" applyAlignment="1">
      <alignment horizontal="center"/>
    </xf>
    <xf numFmtId="165" fontId="7" fillId="0" borderId="0" xfId="2" applyNumberFormat="1" applyAlignment="1">
      <alignment horizontal="right"/>
    </xf>
    <xf numFmtId="166" fontId="7" fillId="0" borderId="0" xfId="2" applyNumberFormat="1" applyAlignment="1">
      <alignment horizontal="right"/>
    </xf>
    <xf numFmtId="164" fontId="5" fillId="0" borderId="0" xfId="1" applyNumberForma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4" fillId="0" borderId="0" xfId="0" applyFont="1"/>
    <xf numFmtId="166" fontId="0" fillId="0" borderId="0" xfId="0" applyNumberFormat="1" applyAlignment="1">
      <alignment horizontal="center"/>
    </xf>
    <xf numFmtId="49" fontId="5" fillId="0" borderId="0" xfId="1" applyNumberFormat="1"/>
    <xf numFmtId="165" fontId="7" fillId="0" borderId="0" xfId="2" applyNumberFormat="1" applyAlignment="1">
      <alignment horizontal="center"/>
    </xf>
    <xf numFmtId="0" fontId="1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7" fillId="2" borderId="0" xfId="2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14" fillId="0" borderId="0" xfId="1" applyFont="1"/>
    <xf numFmtId="0" fontId="5" fillId="0" borderId="0" xfId="1" applyAlignment="1">
      <alignment horizontal="center"/>
    </xf>
    <xf numFmtId="165" fontId="0" fillId="0" borderId="0" xfId="0" applyNumberFormat="1" applyFill="1" applyAlignment="1">
      <alignment horizontal="center"/>
    </xf>
    <xf numFmtId="0" fontId="16" fillId="0" borderId="0" xfId="1" applyFont="1" applyFill="1" applyAlignment="1">
      <alignment horizontal="center"/>
    </xf>
    <xf numFmtId="0" fontId="2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2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7" fontId="15" fillId="0" borderId="0" xfId="1" applyNumberFormat="1" applyFont="1" applyAlignment="1">
      <alignment horizontal="center"/>
    </xf>
    <xf numFmtId="166" fontId="15" fillId="0" borderId="0" xfId="1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15" fillId="0" borderId="0" xfId="1" applyNumberFormat="1" applyFont="1" applyFill="1" applyAlignment="1">
      <alignment horizontal="center"/>
    </xf>
    <xf numFmtId="166" fontId="15" fillId="0" borderId="0" xfId="1" applyNumberFormat="1" applyFont="1" applyFill="1" applyAlignment="1">
      <alignment horizontal="center"/>
    </xf>
    <xf numFmtId="0" fontId="4" fillId="6" borderId="0" xfId="0" applyFont="1" applyFill="1" applyBorder="1"/>
    <xf numFmtId="2" fontId="0" fillId="6" borderId="0" xfId="0" applyNumberFormat="1" applyFill="1" applyBorder="1" applyAlignment="1">
      <alignment horizontal="center"/>
    </xf>
    <xf numFmtId="1" fontId="0" fillId="6" borderId="0" xfId="0" applyNumberForma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6" borderId="0" xfId="0" applyNumberForma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166" fontId="16" fillId="6" borderId="0" xfId="0" applyNumberFormat="1" applyFont="1" applyFill="1" applyBorder="1" applyAlignment="1">
      <alignment horizontal="center"/>
    </xf>
    <xf numFmtId="1" fontId="0" fillId="6" borderId="0" xfId="0" applyNumberForma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4" xfId="0" applyFont="1" applyFill="1" applyBorder="1"/>
    <xf numFmtId="0" fontId="2" fillId="6" borderId="5" xfId="0" applyFont="1" applyFill="1" applyBorder="1"/>
    <xf numFmtId="0" fontId="26" fillId="0" borderId="0" xfId="0" applyFont="1" applyAlignment="1">
      <alignment horizontal="center"/>
    </xf>
    <xf numFmtId="168" fontId="7" fillId="0" borderId="0" xfId="2" applyNumberFormat="1" applyAlignment="1">
      <alignment horizontal="right"/>
    </xf>
    <xf numFmtId="0" fontId="0" fillId="5" borderId="0" xfId="0" applyFont="1" applyFill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5" fillId="0" borderId="0" xfId="1" applyAlignment="1">
      <alignment horizontal="center"/>
    </xf>
    <xf numFmtId="0" fontId="5" fillId="0" borderId="0" xfId="1" applyFont="1" applyFill="1" applyAlignment="1">
      <alignment horizontal="center"/>
    </xf>
    <xf numFmtId="164" fontId="7" fillId="0" borderId="0" xfId="2" applyNumberFormat="1" applyFont="1" applyFill="1" applyAlignment="1">
      <alignment horizontal="center"/>
    </xf>
    <xf numFmtId="0" fontId="2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all Ca, Mg, Sr" xfId="2" xr:uid="{00000000-0005-0000-0000-000002000000}"/>
  </cellStyles>
  <dxfs count="2">
    <dxf>
      <font>
        <b/>
        <i val="0"/>
        <color rgb="FFFFFFFF"/>
      </font>
      <fill>
        <patternFill patternType="solid">
          <fgColor rgb="FFCC0000"/>
          <bgColor rgb="FFCC0000"/>
        </patternFill>
      </fill>
    </dxf>
    <dxf>
      <font>
        <b/>
        <i val="0"/>
        <color rgb="FFFFFFFF"/>
      </font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Na/Ca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867300962379702"/>
                  <c:y val="2.736111111111111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calibration!$M$7:$M$11</c:f>
              <c:numCache>
                <c:formatCode>General</c:formatCode>
                <c:ptCount val="5"/>
                <c:pt idx="0">
                  <c:v>1.97</c:v>
                </c:pt>
                <c:pt idx="1">
                  <c:v>4.1180000000000003</c:v>
                </c:pt>
                <c:pt idx="2">
                  <c:v>5.6929999999999996</c:v>
                </c:pt>
                <c:pt idx="3">
                  <c:v>8.5030000000000001</c:v>
                </c:pt>
              </c:numCache>
            </c:numRef>
          </c:xVal>
          <c:yVal>
            <c:numRef>
              <c:f>calibration!$N$7:$N$11</c:f>
              <c:numCache>
                <c:formatCode>General</c:formatCode>
                <c:ptCount val="5"/>
                <c:pt idx="0">
                  <c:v>3.8555410869251759E-2</c:v>
                </c:pt>
                <c:pt idx="1">
                  <c:v>8.0069596139786176E-2</c:v>
                </c:pt>
                <c:pt idx="2">
                  <c:v>0.10867289099031768</c:v>
                </c:pt>
                <c:pt idx="3">
                  <c:v>0.16445323574877327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45-4976-B839-53746383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(Na/Ca)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Y(Na)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Mg/Ca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24Mg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2261592300962"/>
                  <c:y val="7.1994750656167977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calibration!$O$7:$O$11</c:f>
              <c:numCache>
                <c:formatCode>General</c:formatCode>
                <c:ptCount val="5"/>
                <c:pt idx="0">
                  <c:v>0.19900000000000001</c:v>
                </c:pt>
                <c:pt idx="1">
                  <c:v>1.23</c:v>
                </c:pt>
                <c:pt idx="2">
                  <c:v>2.2709999999999999</c:v>
                </c:pt>
                <c:pt idx="3">
                  <c:v>4.2530000000000001</c:v>
                </c:pt>
              </c:numCache>
            </c:numRef>
          </c:xVal>
          <c:yVal>
            <c:numRef>
              <c:f>calibration!$P$7:$P$11</c:f>
              <c:numCache>
                <c:formatCode>General</c:formatCode>
                <c:ptCount val="5"/>
                <c:pt idx="0">
                  <c:v>2.8493977295174786E-3</c:v>
                </c:pt>
                <c:pt idx="1">
                  <c:v>1.6605541699036535E-2</c:v>
                </c:pt>
                <c:pt idx="2">
                  <c:v>2.9923487926532738E-2</c:v>
                </c:pt>
                <c:pt idx="3">
                  <c:v>5.6098892740479384E-2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2-413F-9E2B-13477E51A98E}"/>
            </c:ext>
          </c:extLst>
        </c:ser>
        <c:ser>
          <c:idx val="1"/>
          <c:order val="1"/>
          <c:tx>
            <c:v>25Mg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2016622922135E-2"/>
                  <c:y val="-8.01768008165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calibration!$O$7:$O$11</c:f>
              <c:numCache>
                <c:formatCode>General</c:formatCode>
                <c:ptCount val="5"/>
                <c:pt idx="0">
                  <c:v>0.19900000000000001</c:v>
                </c:pt>
                <c:pt idx="1">
                  <c:v>1.23</c:v>
                </c:pt>
                <c:pt idx="2">
                  <c:v>2.2709999999999999</c:v>
                </c:pt>
                <c:pt idx="3">
                  <c:v>4.2530000000000001</c:v>
                </c:pt>
              </c:numCache>
            </c:numRef>
          </c:xVal>
          <c:yVal>
            <c:numRef>
              <c:f>calibration!$Q$7:$Q$11</c:f>
              <c:numCache>
                <c:formatCode>General</c:formatCode>
                <c:ptCount val="5"/>
                <c:pt idx="0">
                  <c:v>3.4594394310084257E-4</c:v>
                </c:pt>
                <c:pt idx="1">
                  <c:v>2.1330819809751407E-3</c:v>
                </c:pt>
                <c:pt idx="2">
                  <c:v>3.9371098210247571E-3</c:v>
                </c:pt>
                <c:pt idx="3">
                  <c:v>7.5218646055930823E-3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2-413F-9E2B-13477E51A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(Mg/Ca)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Y(Mg)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Sr/Ca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87Sr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284558180227471E-2"/>
                  <c:y val="-7.6975430154564012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calibration!$R$7:$R$11</c:f>
              <c:numCache>
                <c:formatCode>General</c:formatCode>
                <c:ptCount val="5"/>
                <c:pt idx="0">
                  <c:v>0.47799999999999998</c:v>
                </c:pt>
                <c:pt idx="1">
                  <c:v>1.0229999999999999</c:v>
                </c:pt>
                <c:pt idx="2">
                  <c:v>1.3169999999999999</c:v>
                </c:pt>
                <c:pt idx="3">
                  <c:v>1.9019999999999999</c:v>
                </c:pt>
              </c:numCache>
            </c:numRef>
          </c:xVal>
          <c:yVal>
            <c:numRef>
              <c:f>calibration!$S$7:$S$11</c:f>
              <c:numCache>
                <c:formatCode>General</c:formatCode>
                <c:ptCount val="5"/>
                <c:pt idx="0">
                  <c:v>4.8728025201500583E-3</c:v>
                </c:pt>
                <c:pt idx="1">
                  <c:v>1.0317470741234779E-2</c:v>
                </c:pt>
                <c:pt idx="2">
                  <c:v>1.3295537813270281E-2</c:v>
                </c:pt>
                <c:pt idx="3">
                  <c:v>1.8665521986532811E-2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6-4EE9-B558-E47A28C283A7}"/>
            </c:ext>
          </c:extLst>
        </c:ser>
        <c:ser>
          <c:idx val="1"/>
          <c:order val="1"/>
          <c:tx>
            <c:v>88Sr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2016622922135E-2"/>
                  <c:y val="-8.01768008165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calibration!$R$7:$R$11</c:f>
              <c:numCache>
                <c:formatCode>General</c:formatCode>
                <c:ptCount val="5"/>
                <c:pt idx="0">
                  <c:v>0.47799999999999998</c:v>
                </c:pt>
                <c:pt idx="1">
                  <c:v>1.0229999999999999</c:v>
                </c:pt>
                <c:pt idx="2">
                  <c:v>1.3169999999999999</c:v>
                </c:pt>
                <c:pt idx="3">
                  <c:v>1.9019999999999999</c:v>
                </c:pt>
              </c:numCache>
            </c:numRef>
          </c:xVal>
          <c:yVal>
            <c:numRef>
              <c:f>calibration!$T$7:$T$11</c:f>
              <c:numCache>
                <c:formatCode>General</c:formatCode>
                <c:ptCount val="5"/>
                <c:pt idx="0">
                  <c:v>5.7303739025976519E-2</c:v>
                </c:pt>
                <c:pt idx="1">
                  <c:v>0.11955046080568166</c:v>
                </c:pt>
                <c:pt idx="2">
                  <c:v>0.15160729460964448</c:v>
                </c:pt>
                <c:pt idx="3">
                  <c:v>0.21932570928531217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E6-4EE9-B558-E47A28C28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(Mg/Ca)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Y(Mg)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B/Ca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284558180227471E-2"/>
                  <c:y val="-7.6975430154564012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calibration!$U$7:$U$11</c:f>
              <c:numCache>
                <c:formatCode>General</c:formatCode>
                <c:ptCount val="5"/>
                <c:pt idx="0">
                  <c:v>15.5</c:v>
                </c:pt>
                <c:pt idx="1">
                  <c:v>62.7</c:v>
                </c:pt>
                <c:pt idx="2">
                  <c:v>132.69999999999999</c:v>
                </c:pt>
                <c:pt idx="3">
                  <c:v>228.8</c:v>
                </c:pt>
              </c:numCache>
            </c:numRef>
          </c:xVal>
          <c:yVal>
            <c:numRef>
              <c:f>calibration!$V$7:$V$11</c:f>
              <c:numCache>
                <c:formatCode>General</c:formatCode>
                <c:ptCount val="5"/>
                <c:pt idx="0">
                  <c:v>9.4105298411657788E-6</c:v>
                </c:pt>
                <c:pt idx="1">
                  <c:v>3.4155895500528156E-5</c:v>
                </c:pt>
                <c:pt idx="2">
                  <c:v>7.0324805872613229E-5</c:v>
                </c:pt>
                <c:pt idx="3">
                  <c:v>1.1880516188315978E-4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0-4924-9B84-455FB7EEEAFF}"/>
            </c:ext>
          </c:extLst>
        </c:ser>
        <c:ser>
          <c:idx val="1"/>
          <c:order val="1"/>
          <c:tx>
            <c:v>11B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2016622922135E-2"/>
                  <c:y val="-8.01768008165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calibration!$U$7:$U$11</c:f>
              <c:numCache>
                <c:formatCode>General</c:formatCode>
                <c:ptCount val="5"/>
                <c:pt idx="0">
                  <c:v>15.5</c:v>
                </c:pt>
                <c:pt idx="1">
                  <c:v>62.7</c:v>
                </c:pt>
                <c:pt idx="2">
                  <c:v>132.69999999999999</c:v>
                </c:pt>
                <c:pt idx="3">
                  <c:v>228.8</c:v>
                </c:pt>
              </c:numCache>
            </c:numRef>
          </c:xVal>
          <c:yVal>
            <c:numRef>
              <c:f>calibration!$W$7:$W$11</c:f>
              <c:numCache>
                <c:formatCode>General</c:formatCode>
                <c:ptCount val="5"/>
                <c:pt idx="0">
                  <c:v>3.9256990935191682E-5</c:v>
                </c:pt>
                <c:pt idx="1">
                  <c:v>1.4193559133164065E-4</c:v>
                </c:pt>
                <c:pt idx="2">
                  <c:v>2.9319836944770994E-4</c:v>
                </c:pt>
                <c:pt idx="3">
                  <c:v>4.9759818009236976E-4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90-4924-9B84-455FB7EEE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(Mg/Ca)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Y(Mg)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Na/Ca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867300962379702"/>
                  <c:y val="2.736111111111111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'X-Ca ratios'!$AD$7:$AD$11</c:f>
              <c:numCache>
                <c:formatCode>General</c:formatCode>
                <c:ptCount val="5"/>
                <c:pt idx="0">
                  <c:v>1.97</c:v>
                </c:pt>
                <c:pt idx="1">
                  <c:v>4.1180000000000003</c:v>
                </c:pt>
                <c:pt idx="2">
                  <c:v>5.6929999999999996</c:v>
                </c:pt>
                <c:pt idx="3">
                  <c:v>8.5030000000000001</c:v>
                </c:pt>
              </c:numCache>
            </c:numRef>
          </c:xVal>
          <c:yVal>
            <c:numRef>
              <c:f>'X-Ca ratios'!$AE$7:$AE$11</c:f>
              <c:numCache>
                <c:formatCode>General</c:formatCode>
                <c:ptCount val="5"/>
                <c:pt idx="0">
                  <c:v>3.8555410869251759E-2</c:v>
                </c:pt>
                <c:pt idx="1">
                  <c:v>8.0069596139786176E-2</c:v>
                </c:pt>
                <c:pt idx="2">
                  <c:v>0.10867289099031768</c:v>
                </c:pt>
                <c:pt idx="3">
                  <c:v>0.16445323574877327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4-4F4D-A633-B22027033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(Na/Ca)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Y(Na)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Mg/Ca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24Mg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2261592300962"/>
                  <c:y val="7.1994750656167977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'X-Ca ratios'!$AG$7:$AG$11</c:f>
              <c:numCache>
                <c:formatCode>General</c:formatCode>
                <c:ptCount val="5"/>
                <c:pt idx="0">
                  <c:v>0.19900000000000001</c:v>
                </c:pt>
                <c:pt idx="1">
                  <c:v>1.23</c:v>
                </c:pt>
                <c:pt idx="2">
                  <c:v>2.2709999999999999</c:v>
                </c:pt>
                <c:pt idx="3">
                  <c:v>4.2530000000000001</c:v>
                </c:pt>
              </c:numCache>
            </c:numRef>
          </c:xVal>
          <c:yVal>
            <c:numRef>
              <c:f>'X-Ca ratios'!$AH$7:$AH$11</c:f>
              <c:numCache>
                <c:formatCode>General</c:formatCode>
                <c:ptCount val="5"/>
                <c:pt idx="0">
                  <c:v>2.8493977295174786E-3</c:v>
                </c:pt>
                <c:pt idx="1">
                  <c:v>1.6605541699036535E-2</c:v>
                </c:pt>
                <c:pt idx="2">
                  <c:v>2.9923487926532738E-2</c:v>
                </c:pt>
                <c:pt idx="3">
                  <c:v>5.6098892740479384E-2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2-4470-A614-336110E72A4F}"/>
            </c:ext>
          </c:extLst>
        </c:ser>
        <c:ser>
          <c:idx val="1"/>
          <c:order val="1"/>
          <c:tx>
            <c:v>25Mg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2016622922135E-2"/>
                  <c:y val="-8.01768008165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'X-Ca ratios'!$AG$7:$AG$11</c:f>
              <c:numCache>
                <c:formatCode>General</c:formatCode>
                <c:ptCount val="5"/>
                <c:pt idx="0">
                  <c:v>0.19900000000000001</c:v>
                </c:pt>
                <c:pt idx="1">
                  <c:v>1.23</c:v>
                </c:pt>
                <c:pt idx="2">
                  <c:v>2.2709999999999999</c:v>
                </c:pt>
                <c:pt idx="3">
                  <c:v>4.2530000000000001</c:v>
                </c:pt>
              </c:numCache>
            </c:numRef>
          </c:xVal>
          <c:yVal>
            <c:numRef>
              <c:f>'X-Ca ratios'!$AI$7:$AI$11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2-4470-A614-336110E72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(Mg/Ca)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Y(Mg)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Calibration</a:t>
            </a:r>
            <a:r>
              <a:rPr lang="en-GB" baseline="0"/>
              <a:t> curve Sr/Ca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87Sr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284558180227471E-2"/>
                  <c:y val="-7.6975430154564012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'X-Ca ratios'!$AJ$7:$AJ$11</c:f>
              <c:numCache>
                <c:formatCode>General</c:formatCode>
                <c:ptCount val="5"/>
                <c:pt idx="0">
                  <c:v>0.47799999999999998</c:v>
                </c:pt>
                <c:pt idx="1">
                  <c:v>1.0229999999999999</c:v>
                </c:pt>
                <c:pt idx="2">
                  <c:v>1.3169999999999999</c:v>
                </c:pt>
                <c:pt idx="3">
                  <c:v>1.9019999999999999</c:v>
                </c:pt>
              </c:numCache>
            </c:numRef>
          </c:xVal>
          <c:yVal>
            <c:numRef>
              <c:f>'X-Ca ratios'!$AK$7:$AK$11</c:f>
              <c:numCache>
                <c:formatCode>General</c:formatCode>
                <c:ptCount val="5"/>
                <c:pt idx="0">
                  <c:v>5.7303739025976519E-2</c:v>
                </c:pt>
                <c:pt idx="1">
                  <c:v>0.11955046080568166</c:v>
                </c:pt>
                <c:pt idx="2">
                  <c:v>0.15160729460964448</c:v>
                </c:pt>
                <c:pt idx="3">
                  <c:v>0.21932570928531217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C-4801-86CC-FF18037EA977}"/>
            </c:ext>
          </c:extLst>
        </c:ser>
        <c:ser>
          <c:idx val="1"/>
          <c:order val="1"/>
          <c:tx>
            <c:v>88Sr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2016622922135E-2"/>
                  <c:y val="-8.01768008165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'X-Ca ratios'!$AJ$7:$AJ$11</c:f>
              <c:numCache>
                <c:formatCode>General</c:formatCode>
                <c:ptCount val="5"/>
                <c:pt idx="0">
                  <c:v>0.47799999999999998</c:v>
                </c:pt>
                <c:pt idx="1">
                  <c:v>1.0229999999999999</c:v>
                </c:pt>
                <c:pt idx="2">
                  <c:v>1.3169999999999999</c:v>
                </c:pt>
                <c:pt idx="3">
                  <c:v>1.9019999999999999</c:v>
                </c:pt>
              </c:numCache>
            </c:numRef>
          </c:xVal>
          <c:yVal>
            <c:numRef>
              <c:f>'X-Ca ratios'!$AL$7:$AL$11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C-4801-86CC-FF18037E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323711"/>
        <c:axId val="1297322463"/>
      </c:scatterChart>
      <c:valAx>
        <c:axId val="1297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(Mg/Ca)</a:t>
                </a:r>
                <a:r>
                  <a:rPr lang="en-GB" baseline="-25000"/>
                  <a:t>STD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2463"/>
        <c:crosses val="autoZero"/>
        <c:crossBetween val="midCat"/>
      </c:valAx>
      <c:valAx>
        <c:axId val="129732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Y(Mg) / Y(44Ca)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323711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1254504695"/>
          <c:y val="0.17577961016849833"/>
          <c:w val="0.7473079615048119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335006964505994"/>
                  <c:y val="-0.126273359806259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factor'!$E$13:$E$17</c:f>
              <c:numCache>
                <c:formatCode>0.000</c:formatCode>
                <c:ptCount val="5"/>
                <c:pt idx="0">
                  <c:v>1.1408363229920899</c:v>
                </c:pt>
                <c:pt idx="1">
                  <c:v>4.7450592396435241</c:v>
                </c:pt>
                <c:pt idx="2">
                  <c:v>9.8718325987772815</c:v>
                </c:pt>
                <c:pt idx="3">
                  <c:v>13.004782202109256</c:v>
                </c:pt>
                <c:pt idx="4">
                  <c:v>18.321355788374831</c:v>
                </c:pt>
              </c:numCache>
            </c:numRef>
          </c:xVal>
          <c:yVal>
            <c:numRef>
              <c:f>'Fractionation factor'!$R$13:$R$17</c:f>
              <c:numCache>
                <c:formatCode>0.000</c:formatCode>
                <c:ptCount val="5"/>
                <c:pt idx="0">
                  <c:v>0.2551030921998122</c:v>
                </c:pt>
                <c:pt idx="1">
                  <c:v>0.72370612407313528</c:v>
                </c:pt>
                <c:pt idx="2">
                  <c:v>1.3928302508055985</c:v>
                </c:pt>
                <c:pt idx="3">
                  <c:v>1.9024491140928277</c:v>
                </c:pt>
                <c:pt idx="4">
                  <c:v>2.5822540326705661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C-446A-B6B7-6EEB15A7896B}"/>
            </c:ext>
          </c:extLst>
        </c:ser>
        <c:ser>
          <c:idx val="1"/>
          <c:order val="1"/>
          <c:tx>
            <c:v>vaterite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873668561172473"/>
                  <c:y val="-9.35849211271817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factor'!$E$13:$E$17</c:f>
              <c:numCache>
                <c:formatCode>0.000</c:formatCode>
                <c:ptCount val="5"/>
                <c:pt idx="0">
                  <c:v>1.1408363229920899</c:v>
                </c:pt>
                <c:pt idx="1">
                  <c:v>4.7450592396435241</c:v>
                </c:pt>
                <c:pt idx="2">
                  <c:v>9.8718325987772815</c:v>
                </c:pt>
                <c:pt idx="3">
                  <c:v>13.004782202109256</c:v>
                </c:pt>
                <c:pt idx="4">
                  <c:v>18.321355788374831</c:v>
                </c:pt>
              </c:numCache>
            </c:numRef>
          </c:xVal>
          <c:yVal>
            <c:numRef>
              <c:f>'Fractionation factor'!$AO$13:$AO$17</c:f>
              <c:numCache>
                <c:formatCode>0.000</c:formatCode>
                <c:ptCount val="5"/>
                <c:pt idx="0">
                  <c:v>0.83883008164283579</c:v>
                </c:pt>
                <c:pt idx="1">
                  <c:v>13.054405035680212</c:v>
                </c:pt>
                <c:pt idx="2">
                  <c:v>4.8642864667565364</c:v>
                </c:pt>
                <c:pt idx="3">
                  <c:v>12.382835020078257</c:v>
                </c:pt>
                <c:pt idx="4">
                  <c:v>52.905317722258694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9D-4318-B82D-7B0882CAC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(Sr/Ca)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Sr/Ca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3.0997478699191713E-2"/>
              <c:y val="0.2892390789573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6071741032"/>
          <c:y val="0.13494084434542719"/>
          <c:w val="0.61491360763003211"/>
          <c:h val="0.65948830962013305"/>
        </c:manualLayout>
      </c:layout>
      <c:scatterChart>
        <c:scatterStyle val="lineMarker"/>
        <c:varyColors val="0"/>
        <c:ser>
          <c:idx val="2"/>
          <c:order val="0"/>
          <c:tx>
            <c:v>Mg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33880448042586"/>
                  <c:y val="0.315028625495132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factor'!$E$14:$E$15</c:f>
              <c:numCache>
                <c:formatCode>0.000</c:formatCode>
                <c:ptCount val="2"/>
                <c:pt idx="0">
                  <c:v>4.7450592396435241</c:v>
                </c:pt>
                <c:pt idx="1">
                  <c:v>9.8718325987772815</c:v>
                </c:pt>
              </c:numCache>
            </c:numRef>
          </c:xVal>
          <c:yVal>
            <c:numRef>
              <c:f>'Fractionation factor'!$R$14:$R$15</c:f>
              <c:numCache>
                <c:formatCode>0.000</c:formatCode>
                <c:ptCount val="2"/>
                <c:pt idx="0">
                  <c:v>0.72370612407313528</c:v>
                </c:pt>
                <c:pt idx="1">
                  <c:v>1.3928302508055985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9A-4688-97C8-F972FC522F4D}"/>
            </c:ext>
          </c:extLst>
        </c:ser>
        <c:ser>
          <c:idx val="0"/>
          <c:order val="1"/>
          <c:tx>
            <c:v>Mg 2mM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34229652364133E-2"/>
                  <c:y val="-7.0840726114547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factor'!$E$28:$E$29</c:f>
              <c:numCache>
                <c:formatCode>0.000</c:formatCode>
                <c:ptCount val="2"/>
                <c:pt idx="0">
                  <c:v>4.6699455604220486</c:v>
                </c:pt>
                <c:pt idx="1">
                  <c:v>9.0665297280571426</c:v>
                </c:pt>
              </c:numCache>
            </c:numRef>
          </c:xVal>
          <c:yVal>
            <c:numRef>
              <c:f>'Fractionation factor'!$R$28:$R$29</c:f>
              <c:numCache>
                <c:formatCode>0.000</c:formatCode>
                <c:ptCount val="2"/>
                <c:pt idx="0">
                  <c:v>1.0401362170679511</c:v>
                </c:pt>
                <c:pt idx="1">
                  <c:v>1.3850253391871603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A-4688-97C8-F972FC522F4D}"/>
            </c:ext>
          </c:extLst>
        </c:ser>
        <c:ser>
          <c:idx val="1"/>
          <c:order val="2"/>
          <c:tx>
            <c:v>Mg 10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7456138405234562E-2"/>
                  <c:y val="0.20738746251423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factor'!$E$30:$E$31</c:f>
              <c:numCache>
                <c:formatCode>0.000</c:formatCode>
                <c:ptCount val="2"/>
                <c:pt idx="0">
                  <c:v>4.685048331730771</c:v>
                </c:pt>
                <c:pt idx="1">
                  <c:v>8.8734238813142241</c:v>
                </c:pt>
              </c:numCache>
            </c:numRef>
          </c:xVal>
          <c:yVal>
            <c:numRef>
              <c:f>'Fractionation factor'!$R$30:$R$31</c:f>
              <c:numCache>
                <c:formatCode>0.000</c:formatCode>
                <c:ptCount val="2"/>
                <c:pt idx="0">
                  <c:v>0.86600202938678095</c:v>
                </c:pt>
                <c:pt idx="1">
                  <c:v>1.480583256519844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9A-4688-97C8-F972FC522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(Sr/Ca)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Sr/Ca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5082856600029553E-2"/>
              <c:y val="0.30143914594945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86567887901341"/>
          <c:y val="0.20671732500778708"/>
          <c:w val="0.29553598757901739"/>
          <c:h val="0.4124265118591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6071741032"/>
          <c:y val="0.17171296296296296"/>
          <c:w val="0.6036460019962292"/>
          <c:h val="0.62271617089530473"/>
        </c:manualLayout>
      </c:layout>
      <c:scatterChart>
        <c:scatterStyle val="lineMarker"/>
        <c:varyColors val="0"/>
        <c:ser>
          <c:idx val="2"/>
          <c:order val="0"/>
          <c:tx>
            <c:v>Sr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301097926139464E-2"/>
                  <c:y val="0.36099042609490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factor'!$C$6:$C$8</c:f>
              <c:numCache>
                <c:formatCode>0.000</c:formatCode>
                <c:ptCount val="3"/>
                <c:pt idx="0">
                  <c:v>193.30365021757319</c:v>
                </c:pt>
                <c:pt idx="1">
                  <c:v>460.06512511512091</c:v>
                </c:pt>
                <c:pt idx="2">
                  <c:v>813.6407412758133</c:v>
                </c:pt>
              </c:numCache>
            </c:numRef>
          </c:xVal>
          <c:yVal>
            <c:numRef>
              <c:f>'Fractionation factor'!$Q$6:$Q$8</c:f>
              <c:numCache>
                <c:formatCode>0.000</c:formatCode>
                <c:ptCount val="3"/>
                <c:pt idx="0">
                  <c:v>5.9973305248556521</c:v>
                </c:pt>
                <c:pt idx="1">
                  <c:v>14.377443088834207</c:v>
                </c:pt>
                <c:pt idx="2">
                  <c:v>29.738992352797457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83-47FC-B64B-65D11D5D9F85}"/>
            </c:ext>
          </c:extLst>
        </c:ser>
        <c:ser>
          <c:idx val="0"/>
          <c:order val="1"/>
          <c:tx>
            <c:v>Sr 0.05mM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09315736941331"/>
                  <c:y val="6.04663470019404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factor'!$C$28,'Fractionation factor'!$C$30)</c:f>
              <c:numCache>
                <c:formatCode>0.000</c:formatCode>
                <c:ptCount val="2"/>
                <c:pt idx="0">
                  <c:v>199.93485596133593</c:v>
                </c:pt>
                <c:pt idx="1">
                  <c:v>982.36354998347326</c:v>
                </c:pt>
              </c:numCache>
            </c:numRef>
          </c:xVal>
          <c:yVal>
            <c:numRef>
              <c:f>('Fractionation factor'!$Q$28,'Fractionation factor'!$Q$30)</c:f>
              <c:numCache>
                <c:formatCode>0.000</c:formatCode>
                <c:ptCount val="2"/>
                <c:pt idx="0">
                  <c:v>11.67584809936227</c:v>
                </c:pt>
                <c:pt idx="1">
                  <c:v>34.966443615991139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3-47FC-B64B-65D11D5D9F85}"/>
            </c:ext>
          </c:extLst>
        </c:ser>
        <c:ser>
          <c:idx val="1"/>
          <c:order val="2"/>
          <c:tx>
            <c:v>Sr 0.1 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965309970056561"/>
                  <c:y val="0.2560325224112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factor'!$C$29,'Fractionation factor'!$C$31)</c:f>
              <c:numCache>
                <c:formatCode>0.000</c:formatCode>
                <c:ptCount val="2"/>
                <c:pt idx="0">
                  <c:v>199.80744534177649</c:v>
                </c:pt>
                <c:pt idx="1">
                  <c:v>970.50358727628054</c:v>
                </c:pt>
              </c:numCache>
            </c:numRef>
          </c:xVal>
          <c:yVal>
            <c:numRef>
              <c:f>('Fractionation factor'!$Q$29,'Fractionation factor'!$Q$31)</c:f>
              <c:numCache>
                <c:formatCode>0.000</c:formatCode>
                <c:ptCount val="2"/>
                <c:pt idx="0">
                  <c:v>8.6026454018676173</c:v>
                </c:pt>
                <c:pt idx="1">
                  <c:v>33.55444609440616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83-47FC-B64B-65D11D5D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(Mg/Ca)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Mg/Ca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7763779527559053E-2"/>
              <c:y val="0.3014391951006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46401242098255"/>
          <c:y val="2.6404413297624978E-2"/>
          <c:w val="0.29553598757901739"/>
          <c:h val="0.4124265118591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6071741032"/>
          <c:y val="0.17171296296296296"/>
          <c:w val="0.7473079615048119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552625317478324"/>
                  <c:y val="0.185620896487038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factor'!$G$20:$G$24</c:f>
              <c:numCache>
                <c:formatCode>0.000</c:formatCode>
                <c:ptCount val="5"/>
                <c:pt idx="0">
                  <c:v>11.863228239890049</c:v>
                </c:pt>
                <c:pt idx="1">
                  <c:v>22.549547912188221</c:v>
                </c:pt>
                <c:pt idx="2">
                  <c:v>31.190351660443088</c:v>
                </c:pt>
                <c:pt idx="3">
                  <c:v>43.762149581297876</c:v>
                </c:pt>
                <c:pt idx="4">
                  <c:v>54.289386276140554</c:v>
                </c:pt>
              </c:numCache>
            </c:numRef>
          </c:xVal>
          <c:yVal>
            <c:numRef>
              <c:f>'Fractionation factor'!$S$20:$S$24</c:f>
              <c:numCache>
                <c:formatCode>0.000</c:formatCode>
                <c:ptCount val="5"/>
                <c:pt idx="0">
                  <c:v>0.38997174206358781</c:v>
                </c:pt>
                <c:pt idx="1">
                  <c:v>0.78483670177606302</c:v>
                </c:pt>
                <c:pt idx="2">
                  <c:v>0.80238754004200341</c:v>
                </c:pt>
                <c:pt idx="3">
                  <c:v>1.361685968451267</c:v>
                </c:pt>
                <c:pt idx="4">
                  <c:v>1.6566549716591552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8-4924-9DE1-AB999C6252BA}"/>
            </c:ext>
          </c:extLst>
        </c:ser>
        <c:ser>
          <c:idx val="1"/>
          <c:order val="1"/>
          <c:tx>
            <c:v>vaterite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668909534586463E-2"/>
                  <c:y val="-0.116627808911273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factor'!$G$20:$G$24</c:f>
              <c:numCache>
                <c:formatCode>0.000</c:formatCode>
                <c:ptCount val="5"/>
                <c:pt idx="0">
                  <c:v>11.863228239890049</c:v>
                </c:pt>
                <c:pt idx="1">
                  <c:v>22.549547912188221</c:v>
                </c:pt>
                <c:pt idx="2">
                  <c:v>31.190351660443088</c:v>
                </c:pt>
                <c:pt idx="3">
                  <c:v>43.762149581297876</c:v>
                </c:pt>
                <c:pt idx="4">
                  <c:v>54.289386276140554</c:v>
                </c:pt>
              </c:numCache>
            </c:numRef>
          </c:xVal>
          <c:yVal>
            <c:numRef>
              <c:f>'Fractionation factor'!$AP$20:$AP$24</c:f>
              <c:numCache>
                <c:formatCode>0.000</c:formatCode>
                <c:ptCount val="5"/>
                <c:pt idx="0">
                  <c:v>0.83403842706251885</c:v>
                </c:pt>
                <c:pt idx="1">
                  <c:v>1.644234049752564</c:v>
                </c:pt>
                <c:pt idx="2">
                  <c:v>1.6788265963967521</c:v>
                </c:pt>
                <c:pt idx="3">
                  <c:v>3.5162051285467597</c:v>
                </c:pt>
                <c:pt idx="4">
                  <c:v>2.9345375031187717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5-404F-B0ED-49645F884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(B/Ca)sol 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B/Cappt mmol/mol</a:t>
                </a:r>
              </a:p>
            </c:rich>
          </c:tx>
          <c:layout>
            <c:manualLayout>
              <c:xMode val="edge"/>
              <c:yMode val="edge"/>
              <c:x val="3.5228568259953422E-2"/>
              <c:y val="0.29329249322449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6788386518445556"/>
          <c:y val="0.22071961725505032"/>
          <c:w val="0.16818477100060314"/>
          <c:h val="0.135136080962852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6071741032"/>
          <c:y val="0.17171296296296296"/>
          <c:w val="0.7473079615048119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192672760608059"/>
                  <c:y val="-7.54983386300122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factor'!$C$5:$C$8</c:f>
              <c:numCache>
                <c:formatCode>0.000</c:formatCode>
                <c:ptCount val="4"/>
                <c:pt idx="0">
                  <c:v>84.071837794304315</c:v>
                </c:pt>
                <c:pt idx="1">
                  <c:v>193.30365021757319</c:v>
                </c:pt>
                <c:pt idx="2">
                  <c:v>460.06512511512091</c:v>
                </c:pt>
                <c:pt idx="3">
                  <c:v>813.6407412758133</c:v>
                </c:pt>
              </c:numCache>
            </c:numRef>
          </c:xVal>
          <c:yVal>
            <c:numRef>
              <c:f>'Fractionation factor'!$Q$5:$Q$8</c:f>
              <c:numCache>
                <c:formatCode>0.000</c:formatCode>
                <c:ptCount val="4"/>
                <c:pt idx="0">
                  <c:v>3.1377000920220977</c:v>
                </c:pt>
                <c:pt idx="1">
                  <c:v>5.9973305248556521</c:v>
                </c:pt>
                <c:pt idx="2">
                  <c:v>14.377443088834207</c:v>
                </c:pt>
                <c:pt idx="3">
                  <c:v>29.738992352797457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A68-AC03-25D2701AA356}"/>
            </c:ext>
          </c:extLst>
        </c:ser>
        <c:ser>
          <c:idx val="1"/>
          <c:order val="1"/>
          <c:tx>
            <c:v>vaterite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68458200018201"/>
                  <c:y val="1.096430217475277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factor'!$C$5:$C$8</c:f>
              <c:numCache>
                <c:formatCode>0.000</c:formatCode>
                <c:ptCount val="4"/>
                <c:pt idx="0">
                  <c:v>84.071837794304315</c:v>
                </c:pt>
                <c:pt idx="1">
                  <c:v>193.30365021757319</c:v>
                </c:pt>
                <c:pt idx="2">
                  <c:v>460.06512511512091</c:v>
                </c:pt>
                <c:pt idx="3">
                  <c:v>813.6407412758133</c:v>
                </c:pt>
              </c:numCache>
            </c:numRef>
          </c:xVal>
          <c:yVal>
            <c:numRef>
              <c:f>'Fractionation factor'!$AN$5:$AN$8</c:f>
              <c:numCache>
                <c:formatCode>0.000</c:formatCode>
                <c:ptCount val="4"/>
                <c:pt idx="0">
                  <c:v>4.5516898291516199</c:v>
                </c:pt>
                <c:pt idx="1">
                  <c:v>8.1306521403198939</c:v>
                </c:pt>
                <c:pt idx="2">
                  <c:v>21.277104619477001</c:v>
                </c:pt>
                <c:pt idx="3">
                  <c:v>54.804624686616641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8E-4D5B-AB6C-B67D49DD5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(Mg/Ca)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Mg/Ca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7763779527559053E-2"/>
              <c:y val="0.3014391951006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1924479023589121"/>
          <c:y val="6.8044285617337816E-2"/>
          <c:w val="0.16087401674492341"/>
          <c:h val="0.1388632681405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6071741032"/>
          <c:y val="0.17171296296296296"/>
          <c:w val="0.7473079615048119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441942996562049E-2"/>
                  <c:y val="-0.208417901511749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factor'!$C$5:$C$8</c:f>
              <c:numCache>
                <c:formatCode>0.000</c:formatCode>
                <c:ptCount val="4"/>
                <c:pt idx="0">
                  <c:v>84.071837794304315</c:v>
                </c:pt>
                <c:pt idx="1">
                  <c:v>193.30365021757319</c:v>
                </c:pt>
                <c:pt idx="2">
                  <c:v>460.06512511512091</c:v>
                </c:pt>
                <c:pt idx="3">
                  <c:v>813.6407412758133</c:v>
                </c:pt>
              </c:numCache>
            </c:numRef>
          </c:xVal>
          <c:yVal>
            <c:numRef>
              <c:f>'Fractionation factor'!$Q$5:$Q$8</c:f>
              <c:numCache>
                <c:formatCode>0.000</c:formatCode>
                <c:ptCount val="4"/>
                <c:pt idx="0">
                  <c:v>3.1377000920220977</c:v>
                </c:pt>
                <c:pt idx="1">
                  <c:v>5.9973305248556521</c:v>
                </c:pt>
                <c:pt idx="2">
                  <c:v>14.377443088834207</c:v>
                </c:pt>
                <c:pt idx="3">
                  <c:v>29.738992352797457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C-4B9D-A4ED-9508E6ED331E}"/>
            </c:ext>
          </c:extLst>
        </c:ser>
        <c:ser>
          <c:idx val="1"/>
          <c:order val="1"/>
          <c:tx>
            <c:v>0.01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82799157147611"/>
                  <c:y val="-0.242209565224241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factor'!$C$32,'Fractionation factor'!$C$36,'Fractionation factor'!$C$34)</c:f>
              <c:numCache>
                <c:formatCode>0.000</c:formatCode>
                <c:ptCount val="3"/>
                <c:pt idx="0">
                  <c:v>196.20947674596709</c:v>
                </c:pt>
                <c:pt idx="1">
                  <c:v>497.09355828289796</c:v>
                </c:pt>
                <c:pt idx="2">
                  <c:v>990.74077587324814</c:v>
                </c:pt>
              </c:numCache>
            </c:numRef>
          </c:xVal>
          <c:yVal>
            <c:numRef>
              <c:f>('Fractionation factor'!$Q$32,'Fractionation factor'!$Q$36,'Fractionation factor'!$Q$34)</c:f>
              <c:numCache>
                <c:formatCode>0.000</c:formatCode>
                <c:ptCount val="3"/>
                <c:pt idx="0">
                  <c:v>9.3261199206306173</c:v>
                </c:pt>
                <c:pt idx="1">
                  <c:v>19.283119444073193</c:v>
                </c:pt>
                <c:pt idx="2">
                  <c:v>29.078325401933114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C-4B9D-A4ED-9508E6ED331E}"/>
            </c:ext>
          </c:extLst>
        </c:ser>
        <c:ser>
          <c:idx val="2"/>
          <c:order val="2"/>
          <c:tx>
            <c:v>0.05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618564932904513"/>
                  <c:y val="-4.0903741167017248E-2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factor'!$C$28,'Fractionation factor'!$C$37,'Fractionation factor'!$C$30)</c:f>
              <c:numCache>
                <c:formatCode>0.000</c:formatCode>
                <c:ptCount val="3"/>
                <c:pt idx="0">
                  <c:v>199.93485596133593</c:v>
                </c:pt>
                <c:pt idx="1">
                  <c:v>444.17510363825971</c:v>
                </c:pt>
                <c:pt idx="2">
                  <c:v>982.36354998347326</c:v>
                </c:pt>
              </c:numCache>
            </c:numRef>
          </c:xVal>
          <c:yVal>
            <c:numRef>
              <c:f>('Fractionation factor'!$Q$28,'Fractionation factor'!$Q$37,'Fractionation factor'!$Q$30)</c:f>
              <c:numCache>
                <c:formatCode>0.000</c:formatCode>
                <c:ptCount val="3"/>
                <c:pt idx="0">
                  <c:v>11.67584809936227</c:v>
                </c:pt>
                <c:pt idx="1">
                  <c:v>19.958532133876872</c:v>
                </c:pt>
                <c:pt idx="2">
                  <c:v>34.966443615991139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8C-4B9D-A4ED-9508E6ED331E}"/>
            </c:ext>
          </c:extLst>
        </c:ser>
        <c:ser>
          <c:idx val="3"/>
          <c:order val="3"/>
          <c:tx>
            <c:v>0.1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103648663635357"/>
                  <c:y val="0.19424384940798337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factor'!$C$29,'Fractionation factor'!$C$38,'Fractionation factor'!$C$31)</c:f>
              <c:numCache>
                <c:formatCode>0.000</c:formatCode>
                <c:ptCount val="3"/>
                <c:pt idx="0">
                  <c:v>199.80744534177649</c:v>
                </c:pt>
                <c:pt idx="1">
                  <c:v>492.34256043269096</c:v>
                </c:pt>
                <c:pt idx="2">
                  <c:v>970.50358727628054</c:v>
                </c:pt>
              </c:numCache>
            </c:numRef>
          </c:xVal>
          <c:yVal>
            <c:numRef>
              <c:f>('Fractionation factor'!$Q$29,'Fractionation factor'!$Q$38,'Fractionation factor'!$Q$31)</c:f>
              <c:numCache>
                <c:formatCode>0.000</c:formatCode>
                <c:ptCount val="3"/>
                <c:pt idx="0">
                  <c:v>8.6026454018676173</c:v>
                </c:pt>
                <c:pt idx="1">
                  <c:v>16.038047748731046</c:v>
                </c:pt>
                <c:pt idx="2">
                  <c:v>33.55444609440616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8C-4B9D-A4ED-9508E6ED331E}"/>
            </c:ext>
          </c:extLst>
        </c:ser>
        <c:ser>
          <c:idx val="4"/>
          <c:order val="4"/>
          <c:tx>
            <c:v>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0435843406898"/>
                  <c:y val="0.321343637495174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factor'!$C$33,'Fractionation factor'!$C$39,'Fractionation factor'!$C$35)</c:f>
              <c:numCache>
                <c:formatCode>0.000</c:formatCode>
                <c:ptCount val="3"/>
                <c:pt idx="0">
                  <c:v>198.04605427098002</c:v>
                </c:pt>
                <c:pt idx="1">
                  <c:v>490.25314338587646</c:v>
                </c:pt>
                <c:pt idx="2">
                  <c:v>995.09881326923687</c:v>
                </c:pt>
              </c:numCache>
            </c:numRef>
          </c:xVal>
          <c:yVal>
            <c:numRef>
              <c:f>('Fractionation factor'!$Q$33,'Fractionation factor'!$Q$39,'Fractionation factor'!$Q$35)</c:f>
              <c:numCache>
                <c:formatCode>0.000</c:formatCode>
                <c:ptCount val="3"/>
                <c:pt idx="0">
                  <c:v>9.7290690484469931</c:v>
                </c:pt>
                <c:pt idx="1">
                  <c:v>17.57625921359308</c:v>
                </c:pt>
                <c:pt idx="2">
                  <c:v>28.094169601395883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C-4B9D-A4ED-9508E6ED3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(Mg/Ca)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Mg/Ca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7763779527559053E-2"/>
              <c:y val="0.3014391951006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1959010757458135"/>
          <c:y val="0.21035836110257683"/>
          <c:w val="8.9680381501608078E-2"/>
          <c:h val="0.33766454753858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426071741032"/>
          <c:y val="0.17171296296296296"/>
          <c:w val="0.7473079615048119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5901867455908824E-2"/>
                  <c:y val="-0.200719387775851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factor'!$E$13:$E$17</c:f>
              <c:numCache>
                <c:formatCode>0.000</c:formatCode>
                <c:ptCount val="5"/>
                <c:pt idx="0">
                  <c:v>1.1408363229920899</c:v>
                </c:pt>
                <c:pt idx="1">
                  <c:v>4.7450592396435241</c:v>
                </c:pt>
                <c:pt idx="2">
                  <c:v>9.8718325987772815</c:v>
                </c:pt>
                <c:pt idx="3">
                  <c:v>13.004782202109256</c:v>
                </c:pt>
                <c:pt idx="4">
                  <c:v>18.321355788374831</c:v>
                </c:pt>
              </c:numCache>
            </c:numRef>
          </c:xVal>
          <c:yVal>
            <c:numRef>
              <c:f>'Fractionation factor'!$R$13:$R$17</c:f>
              <c:numCache>
                <c:formatCode>0.000</c:formatCode>
                <c:ptCount val="5"/>
                <c:pt idx="0">
                  <c:v>0.2551030921998122</c:v>
                </c:pt>
                <c:pt idx="1">
                  <c:v>0.72370612407313528</c:v>
                </c:pt>
                <c:pt idx="2">
                  <c:v>1.3928302508055985</c:v>
                </c:pt>
                <c:pt idx="3">
                  <c:v>1.9024491140928277</c:v>
                </c:pt>
                <c:pt idx="4">
                  <c:v>2.5822540326705661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5-4104-8245-A28172AB852E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642719307973827"/>
                  <c:y val="-0.1448847084032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factor'!$E$32,'Fractionation factor'!$E$28:$E$29,'Fractionation factor'!$E$33)</c:f>
              <c:numCache>
                <c:formatCode>0.000</c:formatCode>
                <c:ptCount val="4"/>
                <c:pt idx="0">
                  <c:v>1.3933215008273974</c:v>
                </c:pt>
                <c:pt idx="1">
                  <c:v>4.6699455604220486</c:v>
                </c:pt>
                <c:pt idx="2">
                  <c:v>9.0665297280571426</c:v>
                </c:pt>
                <c:pt idx="3">
                  <c:v>19.303452917324574</c:v>
                </c:pt>
              </c:numCache>
            </c:numRef>
          </c:xVal>
          <c:yVal>
            <c:numRef>
              <c:f>('Fractionation factor'!$R$32,'Fractionation factor'!$R$28:$R$29,'Fractionation factor'!$R$33)</c:f>
              <c:numCache>
                <c:formatCode>0.000</c:formatCode>
                <c:ptCount val="4"/>
                <c:pt idx="0">
                  <c:v>0.315860807462855</c:v>
                </c:pt>
                <c:pt idx="1">
                  <c:v>1.0401362170679511</c:v>
                </c:pt>
                <c:pt idx="2">
                  <c:v>1.3850253391871603</c:v>
                </c:pt>
                <c:pt idx="3">
                  <c:v>3.3753747747402594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F5-4104-8245-A28172AB852E}"/>
            </c:ext>
          </c:extLst>
        </c:ser>
        <c:ser>
          <c:idx val="2"/>
          <c:order val="2"/>
          <c:tx>
            <c:v>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497593434623492"/>
                  <c:y val="-5.8898841175682809E-2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'Fractionation factor'!$E$36:$E$39</c:f>
              <c:numCache>
                <c:formatCode>0.000</c:formatCode>
                <c:ptCount val="4"/>
                <c:pt idx="0">
                  <c:v>1.4933442812206248</c:v>
                </c:pt>
                <c:pt idx="1">
                  <c:v>4.6459869739341881</c:v>
                </c:pt>
                <c:pt idx="2">
                  <c:v>9.2371364466829675</c:v>
                </c:pt>
                <c:pt idx="3">
                  <c:v>19.26247751884522</c:v>
                </c:pt>
              </c:numCache>
            </c:numRef>
          </c:xVal>
          <c:yVal>
            <c:numRef>
              <c:f>'Fractionation factor'!$R$36:$R$39</c:f>
              <c:numCache>
                <c:formatCode>0.000</c:formatCode>
                <c:ptCount val="4"/>
                <c:pt idx="0">
                  <c:v>0.36152662502041749</c:v>
                </c:pt>
                <c:pt idx="1">
                  <c:v>0.93936988395000054</c:v>
                </c:pt>
                <c:pt idx="2">
                  <c:v>1.2271581331270724</c:v>
                </c:pt>
                <c:pt idx="3">
                  <c:v>2.9319419161150919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F5-4104-8245-A28172AB852E}"/>
            </c:ext>
          </c:extLst>
        </c:ser>
        <c:ser>
          <c:idx val="3"/>
          <c:order val="3"/>
          <c:tx>
            <c:v>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73836748948921"/>
                  <c:y val="0.23857509941706687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('Fractionation factor'!$E$30,'Fractionation factor'!$E$34:$E$35,'Fractionation factor'!$E$31)</c:f>
              <c:numCache>
                <c:formatCode>0.000</c:formatCode>
                <c:ptCount val="4"/>
                <c:pt idx="0">
                  <c:v>4.685048331730771</c:v>
                </c:pt>
                <c:pt idx="1">
                  <c:v>1.426886285982345</c:v>
                </c:pt>
                <c:pt idx="2">
                  <c:v>18.784703266357269</c:v>
                </c:pt>
                <c:pt idx="3">
                  <c:v>8.8734238813142241</c:v>
                </c:pt>
              </c:numCache>
            </c:numRef>
          </c:xVal>
          <c:yVal>
            <c:numRef>
              <c:f>('Fractionation factor'!$R$30,'Fractionation factor'!$R$34:$R$35,'Fractionation factor'!$R$31)</c:f>
              <c:numCache>
                <c:formatCode>0.000</c:formatCode>
                <c:ptCount val="4"/>
                <c:pt idx="0">
                  <c:v>0.86600202938678095</c:v>
                </c:pt>
                <c:pt idx="1">
                  <c:v>0.38282461556444775</c:v>
                </c:pt>
                <c:pt idx="2">
                  <c:v>2.7920329483531794</c:v>
                </c:pt>
                <c:pt idx="3">
                  <c:v>1.480583256519844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F5-4104-8245-A28172AB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(Sr/Ca)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Sr/Ca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7763779527559053E-2"/>
              <c:y val="0.3014391951006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22124791553930931"/>
          <c:y val="0.31922816911806801"/>
          <c:w val="7.0440944881889761E-2"/>
          <c:h val="0.27013163803086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72531224257542"/>
          <c:y val="0.17171296296296296"/>
          <c:w val="0.67549687400303793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'Fractionation factor'!$C$5:$C$8</c:f>
              <c:numCache>
                <c:formatCode>0.000</c:formatCode>
                <c:ptCount val="4"/>
                <c:pt idx="0">
                  <c:v>84.071837794304315</c:v>
                </c:pt>
                <c:pt idx="1">
                  <c:v>193.30365021757319</c:v>
                </c:pt>
                <c:pt idx="2">
                  <c:v>460.06512511512091</c:v>
                </c:pt>
                <c:pt idx="3">
                  <c:v>813.6407412758133</c:v>
                </c:pt>
              </c:numCache>
            </c:numRef>
          </c:xVal>
          <c:yVal>
            <c:numRef>
              <c:f>'Fractionation factor'!$Q$5:$Q$8</c:f>
              <c:numCache>
                <c:formatCode>0.000</c:formatCode>
                <c:ptCount val="4"/>
                <c:pt idx="0">
                  <c:v>3.1377000920220977</c:v>
                </c:pt>
                <c:pt idx="1">
                  <c:v>5.9973305248556521</c:v>
                </c:pt>
                <c:pt idx="2">
                  <c:v>14.377443088834207</c:v>
                </c:pt>
                <c:pt idx="3">
                  <c:v>29.738992352797457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6-46D3-A0E5-D68EF33EAACC}"/>
            </c:ext>
          </c:extLst>
        </c:ser>
        <c:ser>
          <c:idx val="1"/>
          <c:order val="1"/>
          <c:tx>
            <c:v>vaterite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'Fractionation factor'!$C$5:$C$8</c:f>
              <c:numCache>
                <c:formatCode>0.000</c:formatCode>
                <c:ptCount val="4"/>
                <c:pt idx="0">
                  <c:v>84.071837794304315</c:v>
                </c:pt>
                <c:pt idx="1">
                  <c:v>193.30365021757319</c:v>
                </c:pt>
                <c:pt idx="2">
                  <c:v>460.06512511512091</c:v>
                </c:pt>
                <c:pt idx="3">
                  <c:v>813.6407412758133</c:v>
                </c:pt>
              </c:numCache>
            </c:numRef>
          </c:xVal>
          <c:yVal>
            <c:numRef>
              <c:f>'Fractionation factor'!$AN$5:$AN$8</c:f>
              <c:numCache>
                <c:formatCode>0.000</c:formatCode>
                <c:ptCount val="4"/>
                <c:pt idx="0">
                  <c:v>4.5516898291516199</c:v>
                </c:pt>
                <c:pt idx="1">
                  <c:v>8.1306521403198939</c:v>
                </c:pt>
                <c:pt idx="2">
                  <c:v>21.277104619477001</c:v>
                </c:pt>
                <c:pt idx="3">
                  <c:v>54.804624686616641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F6-46D3-A0E5-D68EF33EA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(Mg/Ca)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Mg/Ca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7763779527559053E-2"/>
              <c:y val="0.3014391951006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9247296595925015"/>
          <c:y val="0.18290213178294573"/>
          <c:w val="0.33473225466994899"/>
          <c:h val="0.1388632681405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7553292842682"/>
          <c:y val="0.17577961016849833"/>
          <c:w val="0.67546683339287839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'Fractionation factor'!$E$13:$E$17</c:f>
              <c:numCache>
                <c:formatCode>0.000</c:formatCode>
                <c:ptCount val="5"/>
                <c:pt idx="0">
                  <c:v>1.1408363229920899</c:v>
                </c:pt>
                <c:pt idx="1">
                  <c:v>4.7450592396435241</c:v>
                </c:pt>
                <c:pt idx="2">
                  <c:v>9.8718325987772815</c:v>
                </c:pt>
                <c:pt idx="3">
                  <c:v>13.004782202109256</c:v>
                </c:pt>
                <c:pt idx="4">
                  <c:v>18.321355788374831</c:v>
                </c:pt>
              </c:numCache>
            </c:numRef>
          </c:xVal>
          <c:yVal>
            <c:numRef>
              <c:f>'Fractionation factor'!$R$13:$R$17</c:f>
              <c:numCache>
                <c:formatCode>0.000</c:formatCode>
                <c:ptCount val="5"/>
                <c:pt idx="0">
                  <c:v>0.2551030921998122</c:v>
                </c:pt>
                <c:pt idx="1">
                  <c:v>0.72370612407313528</c:v>
                </c:pt>
                <c:pt idx="2">
                  <c:v>1.3928302508055985</c:v>
                </c:pt>
                <c:pt idx="3">
                  <c:v>1.9024491140928277</c:v>
                </c:pt>
                <c:pt idx="4">
                  <c:v>2.5822540326705661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73-4493-ADC4-91502B0C7485}"/>
            </c:ext>
          </c:extLst>
        </c:ser>
        <c:ser>
          <c:idx val="1"/>
          <c:order val="1"/>
          <c:tx>
            <c:v>vaterite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'Fractionation factor'!$E$13:$E$17</c:f>
              <c:numCache>
                <c:formatCode>0.000</c:formatCode>
                <c:ptCount val="5"/>
                <c:pt idx="0">
                  <c:v>1.1408363229920899</c:v>
                </c:pt>
                <c:pt idx="1">
                  <c:v>4.7450592396435241</c:v>
                </c:pt>
                <c:pt idx="2">
                  <c:v>9.8718325987772815</c:v>
                </c:pt>
                <c:pt idx="3">
                  <c:v>13.004782202109256</c:v>
                </c:pt>
                <c:pt idx="4">
                  <c:v>18.321355788374831</c:v>
                </c:pt>
              </c:numCache>
            </c:numRef>
          </c:xVal>
          <c:yVal>
            <c:numRef>
              <c:f>'Fractionation factor'!$AO$13:$AO$17</c:f>
              <c:numCache>
                <c:formatCode>0.000</c:formatCode>
                <c:ptCount val="5"/>
                <c:pt idx="0">
                  <c:v>0.83883008164283579</c:v>
                </c:pt>
                <c:pt idx="1">
                  <c:v>13.054405035680212</c:v>
                </c:pt>
                <c:pt idx="2">
                  <c:v>4.8642864667565364</c:v>
                </c:pt>
                <c:pt idx="3">
                  <c:v>12.382835020078257</c:v>
                </c:pt>
                <c:pt idx="4">
                  <c:v>52.905317722258694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73-4493-ADC4-91502B0C7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(Sr/Ca)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sol </a:t>
                </a:r>
                <a:r>
                  <a:rPr lang="en-US">
                    <a:solidFill>
                      <a:sysClr val="windowText" lastClr="000000"/>
                    </a:solidFill>
                  </a:rPr>
                  <a:t>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Sr/Ca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ppt</a:t>
                </a:r>
                <a:r>
                  <a:rPr lang="en-US">
                    <a:solidFill>
                      <a:sysClr val="windowText" lastClr="000000"/>
                    </a:solidFill>
                  </a:rPr>
                  <a:t> mmol/mol</a:t>
                </a:r>
              </a:p>
            </c:rich>
          </c:tx>
          <c:layout>
            <c:manualLayout>
              <c:xMode val="edge"/>
              <c:yMode val="edge"/>
              <c:x val="5.3684053828748364E-2"/>
              <c:y val="0.289239071461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4622603310706207"/>
          <c:y val="0.1206156668216814"/>
          <c:w val="0.2262304989877337"/>
          <c:h val="0.13842427530615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7553292842682"/>
          <c:y val="0.17171296296296296"/>
          <c:w val="0.67546683339287839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'Fractionation factor'!$G$20:$G$24</c:f>
              <c:numCache>
                <c:formatCode>0.000</c:formatCode>
                <c:ptCount val="5"/>
                <c:pt idx="0">
                  <c:v>11.863228239890049</c:v>
                </c:pt>
                <c:pt idx="1">
                  <c:v>22.549547912188221</c:v>
                </c:pt>
                <c:pt idx="2">
                  <c:v>31.190351660443088</c:v>
                </c:pt>
                <c:pt idx="3">
                  <c:v>43.762149581297876</c:v>
                </c:pt>
                <c:pt idx="4">
                  <c:v>54.289386276140554</c:v>
                </c:pt>
              </c:numCache>
            </c:numRef>
          </c:xVal>
          <c:yVal>
            <c:numRef>
              <c:f>'Fractionation factor'!$S$20:$S$24</c:f>
              <c:numCache>
                <c:formatCode>0.000</c:formatCode>
                <c:ptCount val="5"/>
                <c:pt idx="0">
                  <c:v>0.38997174206358781</c:v>
                </c:pt>
                <c:pt idx="1">
                  <c:v>0.78483670177606302</c:v>
                </c:pt>
                <c:pt idx="2">
                  <c:v>0.80238754004200341</c:v>
                </c:pt>
                <c:pt idx="3">
                  <c:v>1.361685968451267</c:v>
                </c:pt>
                <c:pt idx="4">
                  <c:v>1.6566549716591552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AE-4319-AD70-2DF0D78B00A9}"/>
            </c:ext>
          </c:extLst>
        </c:ser>
        <c:ser>
          <c:idx val="1"/>
          <c:order val="1"/>
          <c:tx>
            <c:v>vaterite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'Fractionation factor'!$G$20:$G$24</c:f>
              <c:numCache>
                <c:formatCode>0.000</c:formatCode>
                <c:ptCount val="5"/>
                <c:pt idx="0">
                  <c:v>11.863228239890049</c:v>
                </c:pt>
                <c:pt idx="1">
                  <c:v>22.549547912188221</c:v>
                </c:pt>
                <c:pt idx="2">
                  <c:v>31.190351660443088</c:v>
                </c:pt>
                <c:pt idx="3">
                  <c:v>43.762149581297876</c:v>
                </c:pt>
                <c:pt idx="4">
                  <c:v>54.289386276140554</c:v>
                </c:pt>
              </c:numCache>
            </c:numRef>
          </c:xVal>
          <c:yVal>
            <c:numRef>
              <c:f>'Fractionation factor'!$AP$20:$AP$24</c:f>
              <c:numCache>
                <c:formatCode>0.000</c:formatCode>
                <c:ptCount val="5"/>
                <c:pt idx="0">
                  <c:v>0.83403842706251885</c:v>
                </c:pt>
                <c:pt idx="1">
                  <c:v>1.644234049752564</c:v>
                </c:pt>
                <c:pt idx="2">
                  <c:v>1.6788265963967521</c:v>
                </c:pt>
                <c:pt idx="3">
                  <c:v>3.5162051285467597</c:v>
                </c:pt>
                <c:pt idx="4">
                  <c:v>2.9345375031187717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AE-4319-AD70-2DF0D78B0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37088"/>
        <c:axId val="624537504"/>
      </c:scatterChart>
      <c:valAx>
        <c:axId val="624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(B/Ca)sol / mmol/mol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504"/>
        <c:crosses val="autoZero"/>
        <c:crossBetween val="midCat"/>
      </c:valAx>
      <c:valAx>
        <c:axId val="624537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B/Cappt mmol/mol</a:t>
                </a:r>
              </a:p>
            </c:rich>
          </c:tx>
          <c:layout>
            <c:manualLayout>
              <c:xMode val="edge"/>
              <c:yMode val="edge"/>
              <c:x val="3.5228568259953422E-2"/>
              <c:y val="0.29329249322449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37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7544599261641062"/>
          <c:y val="0.16329069767441862"/>
          <c:w val="0.31942926045016079"/>
          <c:h val="0.135136080962852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114300</xdr:rowOff>
    </xdr:from>
    <xdr:to>
      <xdr:col>6</xdr:col>
      <xdr:colOff>685800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17</xdr:row>
      <xdr:rowOff>95250</xdr:rowOff>
    </xdr:from>
    <xdr:to>
      <xdr:col>12</xdr:col>
      <xdr:colOff>409575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561975</xdr:colOff>
      <xdr:row>17</xdr:row>
      <xdr:rowOff>38100</xdr:rowOff>
    </xdr:from>
    <xdr:to>
      <xdr:col>19</xdr:col>
      <xdr:colOff>228600</xdr:colOff>
      <xdr:row>31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342900</xdr:colOff>
      <xdr:row>17</xdr:row>
      <xdr:rowOff>28575</xdr:rowOff>
    </xdr:from>
    <xdr:to>
      <xdr:col>26</xdr:col>
      <xdr:colOff>133350</xdr:colOff>
      <xdr:row>31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495300</xdr:colOff>
      <xdr:row>0</xdr:row>
      <xdr:rowOff>152400</xdr:rowOff>
    </xdr:from>
    <xdr:to>
      <xdr:col>47</xdr:col>
      <xdr:colOff>190500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352425</xdr:colOff>
      <xdr:row>12</xdr:row>
      <xdr:rowOff>66675</xdr:rowOff>
    </xdr:from>
    <xdr:to>
      <xdr:col>47</xdr:col>
      <xdr:colOff>47625</xdr:colOff>
      <xdr:row>26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200025</xdr:colOff>
      <xdr:row>18</xdr:row>
      <xdr:rowOff>104775</xdr:rowOff>
    </xdr:from>
    <xdr:to>
      <xdr:col>45</xdr:col>
      <xdr:colOff>504825</xdr:colOff>
      <xdr:row>32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63234</xdr:colOff>
      <xdr:row>1</xdr:row>
      <xdr:rowOff>32016</xdr:rowOff>
    </xdr:from>
    <xdr:to>
      <xdr:col>58</xdr:col>
      <xdr:colOff>335227</xdr:colOff>
      <xdr:row>16</xdr:row>
      <xdr:rowOff>191621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172508</xdr:colOff>
      <xdr:row>34</xdr:row>
      <xdr:rowOff>100541</xdr:rowOff>
    </xdr:from>
    <xdr:to>
      <xdr:col>66</xdr:col>
      <xdr:colOff>442383</xdr:colOff>
      <xdr:row>51</xdr:row>
      <xdr:rowOff>83608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461433</xdr:colOff>
      <xdr:row>33</xdr:row>
      <xdr:rowOff>60326</xdr:rowOff>
    </xdr:from>
    <xdr:to>
      <xdr:col>66</xdr:col>
      <xdr:colOff>62441</xdr:colOff>
      <xdr:row>52</xdr:row>
      <xdr:rowOff>56092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  <a:ext uri="{147F2762-F138-4A5C-976F-8EAC2B608ADB}">
              <a16:predDERef xmlns:a16="http://schemas.microsoft.com/office/drawing/2014/main" pre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422274</xdr:colOff>
      <xdr:row>1</xdr:row>
      <xdr:rowOff>60061</xdr:rowOff>
    </xdr:from>
    <xdr:to>
      <xdr:col>66</xdr:col>
      <xdr:colOff>32807</xdr:colOff>
      <xdr:row>17</xdr:row>
      <xdr:rowOff>11377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311944</xdr:colOff>
      <xdr:row>1</xdr:row>
      <xdr:rowOff>94456</xdr:rowOff>
    </xdr:from>
    <xdr:to>
      <xdr:col>50</xdr:col>
      <xdr:colOff>553244</xdr:colOff>
      <xdr:row>17</xdr:row>
      <xdr:rowOff>48481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292365</xdr:colOff>
      <xdr:row>35</xdr:row>
      <xdr:rowOff>8467</xdr:rowOff>
    </xdr:from>
    <xdr:to>
      <xdr:col>56</xdr:col>
      <xdr:colOff>559065</xdr:colOff>
      <xdr:row>52</xdr:row>
      <xdr:rowOff>86845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19050</xdr:colOff>
      <xdr:row>44</xdr:row>
      <xdr:rowOff>66675</xdr:rowOff>
    </xdr:from>
    <xdr:to>
      <xdr:col>43</xdr:col>
      <xdr:colOff>260350</xdr:colOff>
      <xdr:row>63</xdr:row>
      <xdr:rowOff>106425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269875</xdr:colOff>
      <xdr:row>17</xdr:row>
      <xdr:rowOff>132291</xdr:rowOff>
    </xdr:from>
    <xdr:to>
      <xdr:col>48</xdr:col>
      <xdr:colOff>428624</xdr:colOff>
      <xdr:row>34</xdr:row>
      <xdr:rowOff>90332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5272FD2-AF09-4E1C-BE5D-1CCCA7D40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486833</xdr:colOff>
      <xdr:row>17</xdr:row>
      <xdr:rowOff>132291</xdr:rowOff>
    </xdr:from>
    <xdr:to>
      <xdr:col>54</xdr:col>
      <xdr:colOff>3883</xdr:colOff>
      <xdr:row>34</xdr:row>
      <xdr:rowOff>90812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8C4A44-7DAD-4064-B930-CF44AFDEB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54</xdr:col>
      <xdr:colOff>74083</xdr:colOff>
      <xdr:row>17</xdr:row>
      <xdr:rowOff>164042</xdr:rowOff>
    </xdr:from>
    <xdr:to>
      <xdr:col>59</xdr:col>
      <xdr:colOff>231425</xdr:colOff>
      <xdr:row>34</xdr:row>
      <xdr:rowOff>122083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24BABE8-ED95-4080-B420-70B696668C7C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workbookViewId="0">
      <selection activeCell="Q13" sqref="Q13"/>
    </sheetView>
  </sheetViews>
  <sheetFormatPr defaultRowHeight="14.75" x14ac:dyDescent="0.75"/>
  <cols>
    <col min="6" max="12" width="12.54296875" bestFit="1" customWidth="1"/>
    <col min="13" max="13" width="11" customWidth="1"/>
    <col min="14" max="14" width="11.40625" customWidth="1"/>
    <col min="15" max="17" width="10.7265625" customWidth="1"/>
    <col min="18" max="18" width="10.26953125" customWidth="1"/>
    <col min="19" max="20" width="10.54296875" customWidth="1"/>
    <col min="21" max="22" width="12.26953125" customWidth="1"/>
    <col min="23" max="23" width="11" bestFit="1" customWidth="1"/>
  </cols>
  <sheetData>
    <row r="1" spans="1:23" x14ac:dyDescent="0.75">
      <c r="N1" t="s">
        <v>0</v>
      </c>
    </row>
    <row r="2" spans="1:23" ht="33" customHeight="1" x14ac:dyDescent="0.75"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23" x14ac:dyDescent="0.75"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3" x14ac:dyDescent="0.75"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N4" t="s">
        <v>11</v>
      </c>
      <c r="P4" t="s">
        <v>12</v>
      </c>
      <c r="Q4" t="s">
        <v>13</v>
      </c>
      <c r="S4" t="s">
        <v>14</v>
      </c>
      <c r="T4" t="s">
        <v>15</v>
      </c>
      <c r="V4" t="s">
        <v>16</v>
      </c>
      <c r="W4" t="s">
        <v>17</v>
      </c>
    </row>
    <row r="5" spans="1:23" x14ac:dyDescent="0.75">
      <c r="A5" s="1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N5" t="s">
        <v>19</v>
      </c>
      <c r="P5" t="s">
        <v>19</v>
      </c>
      <c r="Q5" t="s">
        <v>19</v>
      </c>
      <c r="S5" t="s">
        <v>19</v>
      </c>
      <c r="T5" t="s">
        <v>19</v>
      </c>
      <c r="V5" t="s">
        <v>19</v>
      </c>
      <c r="W5" t="s">
        <v>19</v>
      </c>
    </row>
    <row r="6" spans="1:23" ht="29.5" x14ac:dyDescent="0.75">
      <c r="B6">
        <v>1</v>
      </c>
      <c r="C6" t="s">
        <v>20</v>
      </c>
      <c r="D6">
        <v>357.60606171474598</v>
      </c>
      <c r="E6">
        <v>1456.2910087847499</v>
      </c>
      <c r="F6">
        <v>560497.64744826895</v>
      </c>
      <c r="G6">
        <v>8867.2235148065993</v>
      </c>
      <c r="H6">
        <v>1200.46058930149</v>
      </c>
      <c r="I6">
        <v>3880.6260143125101</v>
      </c>
      <c r="J6">
        <v>133860.579927012</v>
      </c>
      <c r="K6">
        <v>225.33567184895401</v>
      </c>
      <c r="L6">
        <v>2117.65183002615</v>
      </c>
      <c r="M6" s="3" t="s">
        <v>21</v>
      </c>
      <c r="O6" s="3" t="s">
        <v>22</v>
      </c>
      <c r="R6" s="3" t="s">
        <v>23</v>
      </c>
      <c r="U6" s="3" t="s">
        <v>24</v>
      </c>
    </row>
    <row r="7" spans="1:23" x14ac:dyDescent="0.75">
      <c r="B7">
        <v>2</v>
      </c>
      <c r="C7" t="s">
        <v>25</v>
      </c>
      <c r="D7">
        <v>3260.2410374766901</v>
      </c>
      <c r="E7">
        <v>13564.9306767868</v>
      </c>
      <c r="F7">
        <v>12452738.1464273</v>
      </c>
      <c r="G7">
        <v>887750.94729560497</v>
      </c>
      <c r="H7">
        <v>107905.29080033999</v>
      </c>
      <c r="I7">
        <v>19162668.898445498</v>
      </c>
      <c r="J7">
        <v>308579296.14557898</v>
      </c>
      <c r="K7">
        <v>1503219.0314249401</v>
      </c>
      <c r="L7">
        <v>17677194.3952378</v>
      </c>
      <c r="M7" s="4">
        <v>1.97</v>
      </c>
      <c r="N7">
        <f>(F7-F$6)/($J7-$J$6)</f>
        <v>3.8555410869251759E-2</v>
      </c>
      <c r="O7" s="4">
        <v>0.19900000000000001</v>
      </c>
      <c r="P7">
        <f>(G7-G$6)/($J7-$J$6)</f>
        <v>2.8493977295174786E-3</v>
      </c>
      <c r="Q7">
        <f>(H7-H$6)/($J7-$J$6)</f>
        <v>3.4594394310084257E-4</v>
      </c>
      <c r="R7" s="4">
        <v>0.47799999999999998</v>
      </c>
      <c r="S7">
        <f>(K7-K$6)/($J7-$J$6)</f>
        <v>4.8728025201500583E-3</v>
      </c>
      <c r="T7">
        <f>(L7-L$6)/($J7-$J$6)</f>
        <v>5.7303739025976519E-2</v>
      </c>
      <c r="U7" s="4">
        <v>15.5</v>
      </c>
      <c r="V7">
        <f>(D7-D$6)/($J7-$J$6)</f>
        <v>9.4105298411657788E-6</v>
      </c>
      <c r="W7">
        <f>(E7-E$6)/($J7-$J$6)</f>
        <v>3.9256990935191682E-5</v>
      </c>
    </row>
    <row r="8" spans="1:23" x14ac:dyDescent="0.75">
      <c r="B8">
        <v>3</v>
      </c>
      <c r="C8" t="s">
        <v>26</v>
      </c>
      <c r="D8">
        <v>10864.0973726716</v>
      </c>
      <c r="E8">
        <v>45116.251761924599</v>
      </c>
      <c r="F8">
        <v>25190228.5851565</v>
      </c>
      <c r="G8">
        <v>5116798.87097992</v>
      </c>
      <c r="H8">
        <v>657345.08716855198</v>
      </c>
      <c r="I8">
        <v>19188309.8654439</v>
      </c>
      <c r="J8">
        <v>307737896.632631</v>
      </c>
      <c r="K8">
        <v>3173920.9775313502</v>
      </c>
      <c r="L8">
        <v>36776321.907618299</v>
      </c>
      <c r="M8" s="4">
        <v>4.1180000000000003</v>
      </c>
      <c r="N8">
        <f>(F8-F$6)/($J8-$J$6)</f>
        <v>8.0069596139786176E-2</v>
      </c>
      <c r="O8" s="4">
        <v>1.23</v>
      </c>
      <c r="P8">
        <f t="shared" ref="P8:P10" si="0">(G8-G$6)/($J8-$J$6)</f>
        <v>1.6605541699036535E-2</v>
      </c>
      <c r="Q8">
        <f t="shared" ref="Q8:Q10" si="1">(H8-H$6)/($J8-$J$6)</f>
        <v>2.1330819809751407E-3</v>
      </c>
      <c r="R8" s="4">
        <v>1.0229999999999999</v>
      </c>
      <c r="S8">
        <f t="shared" ref="S8:S10" si="2">(K8-K$6)/($J8-$J$6)</f>
        <v>1.0317470741234779E-2</v>
      </c>
      <c r="T8">
        <f t="shared" ref="T8:T10" si="3">(L8-L$6)/($J8-$J$6)</f>
        <v>0.11955046080568166</v>
      </c>
      <c r="U8" s="4">
        <v>62.7</v>
      </c>
      <c r="V8">
        <f t="shared" ref="V8:V10" si="4">(D8-D$6)/($J8-$J$6)</f>
        <v>3.4155895500528156E-5</v>
      </c>
      <c r="W8">
        <f t="shared" ref="W8:W10" si="5">(E8-E$6)/($J8-$J$6)</f>
        <v>1.4193559133164065E-4</v>
      </c>
    </row>
    <row r="9" spans="1:23" x14ac:dyDescent="0.75">
      <c r="B9">
        <v>4</v>
      </c>
      <c r="C9" t="s">
        <v>27</v>
      </c>
      <c r="D9">
        <v>24089.884613459701</v>
      </c>
      <c r="E9">
        <v>100400.970461647</v>
      </c>
      <c r="F9">
        <v>37233977.054947101</v>
      </c>
      <c r="G9">
        <v>10107047.2597118</v>
      </c>
      <c r="H9">
        <v>1329843.8290562099</v>
      </c>
      <c r="I9">
        <v>20958788.119063899</v>
      </c>
      <c r="J9">
        <v>337600537.62605703</v>
      </c>
      <c r="K9">
        <v>4487026.3010573396</v>
      </c>
      <c r="L9">
        <v>51164527.579700403</v>
      </c>
      <c r="M9" s="4">
        <v>5.6929999999999996</v>
      </c>
      <c r="N9">
        <f>(F9-F$6)/($J9-$J$6)</f>
        <v>0.10867289099031768</v>
      </c>
      <c r="O9" s="4">
        <v>2.2709999999999999</v>
      </c>
      <c r="P9">
        <f t="shared" si="0"/>
        <v>2.9923487926532738E-2</v>
      </c>
      <c r="Q9">
        <f t="shared" si="1"/>
        <v>3.9371098210247571E-3</v>
      </c>
      <c r="R9" s="4">
        <v>1.3169999999999999</v>
      </c>
      <c r="S9">
        <f t="shared" si="2"/>
        <v>1.3295537813270281E-2</v>
      </c>
      <c r="T9">
        <f t="shared" si="3"/>
        <v>0.15160729460964448</v>
      </c>
      <c r="U9" s="4">
        <v>132.69999999999999</v>
      </c>
      <c r="V9">
        <f t="shared" si="4"/>
        <v>7.0324805872613229E-5</v>
      </c>
      <c r="W9">
        <f t="shared" si="5"/>
        <v>2.9319836944770994E-4</v>
      </c>
    </row>
    <row r="10" spans="1:23" x14ac:dyDescent="0.75">
      <c r="A10">
        <v>1</v>
      </c>
      <c r="B10">
        <v>5</v>
      </c>
      <c r="C10" t="s">
        <v>28</v>
      </c>
      <c r="D10">
        <v>34709.236546203902</v>
      </c>
      <c r="E10">
        <v>145333.11034343601</v>
      </c>
      <c r="F10">
        <v>48110929.774094798</v>
      </c>
      <c r="G10">
        <v>16229445.5507861</v>
      </c>
      <c r="H10">
        <v>2176091.7648897502</v>
      </c>
      <c r="I10">
        <v>18050175.218971599</v>
      </c>
      <c r="J10">
        <v>289276436.036982</v>
      </c>
      <c r="K10">
        <v>5397222.4351082304</v>
      </c>
      <c r="L10">
        <v>63418518.098530501</v>
      </c>
      <c r="M10" s="4">
        <v>8.5030000000000001</v>
      </c>
      <c r="N10">
        <f>(F10-F$6)/($J10-$J$6)</f>
        <v>0.16445323574877327</v>
      </c>
      <c r="O10" s="4">
        <v>4.2530000000000001</v>
      </c>
      <c r="P10">
        <f t="shared" si="0"/>
        <v>5.6098892740479384E-2</v>
      </c>
      <c r="Q10">
        <f t="shared" si="1"/>
        <v>7.5218646055930823E-3</v>
      </c>
      <c r="R10" s="4">
        <v>1.9019999999999999</v>
      </c>
      <c r="S10">
        <f t="shared" si="2"/>
        <v>1.8665521986532811E-2</v>
      </c>
      <c r="T10">
        <f t="shared" si="3"/>
        <v>0.21932570928531217</v>
      </c>
      <c r="U10" s="4">
        <v>228.8</v>
      </c>
      <c r="V10">
        <f t="shared" si="4"/>
        <v>1.1880516188315978E-4</v>
      </c>
      <c r="W10">
        <f t="shared" si="5"/>
        <v>4.9759818009236976E-4</v>
      </c>
    </row>
    <row r="11" spans="1:23" x14ac:dyDescent="0.75">
      <c r="A11">
        <v>2</v>
      </c>
      <c r="B11">
        <v>6</v>
      </c>
      <c r="C11" t="s">
        <v>20</v>
      </c>
      <c r="D11">
        <v>667.01928099460497</v>
      </c>
      <c r="E11">
        <v>2774.3170506768502</v>
      </c>
      <c r="F11">
        <v>627853.59606206696</v>
      </c>
      <c r="G11">
        <v>16438.7840401592</v>
      </c>
      <c r="H11">
        <v>2191.40114331124</v>
      </c>
      <c r="I11">
        <v>6591.0133238962799</v>
      </c>
      <c r="J11">
        <v>178230.59572429</v>
      </c>
      <c r="K11">
        <v>806.02856090398905</v>
      </c>
      <c r="L11">
        <v>9038.8360419109795</v>
      </c>
      <c r="M11" s="4"/>
      <c r="O11" s="4"/>
      <c r="R11" s="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8"/>
  <sheetViews>
    <sheetView workbookViewId="0">
      <selection activeCell="L32" sqref="L32"/>
    </sheetView>
  </sheetViews>
  <sheetFormatPr defaultRowHeight="14.75" x14ac:dyDescent="0.75"/>
  <cols>
    <col min="1" max="3" width="9.26953125" bestFit="1" customWidth="1"/>
    <col min="4" max="5" width="9.26953125" customWidth="1"/>
    <col min="6" max="12" width="12.7265625" bestFit="1" customWidth="1"/>
    <col min="13" max="14" width="12.7265625" customWidth="1"/>
    <col min="15" max="15" width="14.40625" bestFit="1" customWidth="1"/>
    <col min="16" max="16" width="10.1328125" bestFit="1" customWidth="1"/>
    <col min="17" max="17" width="12" bestFit="1" customWidth="1"/>
    <col min="18" max="18" width="10.1328125" bestFit="1" customWidth="1"/>
    <col min="19" max="19" width="11.1328125" bestFit="1" customWidth="1"/>
    <col min="20" max="21" width="11.1328125" customWidth="1"/>
    <col min="22" max="22" width="11.26953125" bestFit="1" customWidth="1"/>
    <col min="23" max="23" width="10.7265625" bestFit="1" customWidth="1"/>
    <col min="24" max="24" width="11.26953125" bestFit="1" customWidth="1"/>
    <col min="25" max="26" width="11.26953125" customWidth="1"/>
    <col min="27" max="28" width="12.26953125" customWidth="1"/>
    <col min="29" max="29" width="11.26953125" customWidth="1"/>
    <col min="30" max="30" width="11" customWidth="1"/>
    <col min="31" max="32" width="11.40625" customWidth="1"/>
    <col min="33" max="33" width="11.26953125" customWidth="1"/>
    <col min="34" max="35" width="10.7265625" customWidth="1"/>
    <col min="36" max="36" width="12" customWidth="1"/>
    <col min="37" max="38" width="10.54296875" customWidth="1"/>
    <col min="39" max="39" width="11" bestFit="1" customWidth="1"/>
  </cols>
  <sheetData>
    <row r="1" spans="1:37" x14ac:dyDescent="0.75">
      <c r="M1" t="s">
        <v>29</v>
      </c>
    </row>
    <row r="2" spans="1:37" ht="33" customHeight="1" x14ac:dyDescent="0.75"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37" x14ac:dyDescent="0.75"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37" x14ac:dyDescent="0.75"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s="5" t="s">
        <v>16</v>
      </c>
      <c r="N4" s="5" t="s">
        <v>17</v>
      </c>
      <c r="O4" s="5" t="s">
        <v>30</v>
      </c>
      <c r="P4" t="s">
        <v>12</v>
      </c>
      <c r="Q4" t="s">
        <v>13</v>
      </c>
      <c r="R4" t="s">
        <v>14</v>
      </c>
      <c r="S4" t="s">
        <v>15</v>
      </c>
      <c r="U4" s="5" t="s">
        <v>17</v>
      </c>
      <c r="V4" s="5" t="s">
        <v>30</v>
      </c>
      <c r="W4" t="s">
        <v>12</v>
      </c>
      <c r="X4" t="s">
        <v>15</v>
      </c>
      <c r="AB4" t="s">
        <v>16</v>
      </c>
      <c r="AE4" t="s">
        <v>11</v>
      </c>
      <c r="AH4" t="s">
        <v>12</v>
      </c>
      <c r="AK4" t="s">
        <v>15</v>
      </c>
    </row>
    <row r="5" spans="1:37" x14ac:dyDescent="0.75">
      <c r="A5" s="1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U5" t="s">
        <v>32</v>
      </c>
      <c r="V5" t="s">
        <v>33</v>
      </c>
      <c r="W5" t="s">
        <v>33</v>
      </c>
      <c r="X5" t="s">
        <v>33</v>
      </c>
      <c r="AB5" t="s">
        <v>19</v>
      </c>
      <c r="AE5" t="s">
        <v>19</v>
      </c>
      <c r="AH5" t="s">
        <v>19</v>
      </c>
      <c r="AK5" t="s">
        <v>19</v>
      </c>
    </row>
    <row r="6" spans="1:37" ht="29.5" x14ac:dyDescent="0.75">
      <c r="B6">
        <v>1</v>
      </c>
      <c r="C6" t="s">
        <v>20</v>
      </c>
      <c r="D6">
        <v>357.60606171474598</v>
      </c>
      <c r="E6">
        <v>1456.2910087847499</v>
      </c>
      <c r="F6">
        <v>560497.64744826895</v>
      </c>
      <c r="G6">
        <v>8867.2235148065993</v>
      </c>
      <c r="H6">
        <v>1200.46058930149</v>
      </c>
      <c r="I6">
        <v>3880.6260143125101</v>
      </c>
      <c r="J6">
        <v>133860.579927012</v>
      </c>
      <c r="K6">
        <v>225.33567184895401</v>
      </c>
      <c r="L6">
        <v>2117.65183002615</v>
      </c>
      <c r="T6" t="s">
        <v>20</v>
      </c>
      <c r="AA6" s="3" t="s">
        <v>24</v>
      </c>
      <c r="AD6" s="3" t="s">
        <v>21</v>
      </c>
      <c r="AG6" s="3" t="s">
        <v>22</v>
      </c>
      <c r="AJ6" s="3" t="s">
        <v>23</v>
      </c>
    </row>
    <row r="7" spans="1:37" x14ac:dyDescent="0.75">
      <c r="B7">
        <v>2</v>
      </c>
      <c r="C7" t="s">
        <v>25</v>
      </c>
      <c r="D7">
        <v>3260.2410374766901</v>
      </c>
      <c r="E7">
        <v>13564.9306767868</v>
      </c>
      <c r="F7">
        <v>12452738.1464273</v>
      </c>
      <c r="G7">
        <v>887750.94729560497</v>
      </c>
      <c r="H7">
        <v>107905.29080033999</v>
      </c>
      <c r="I7">
        <v>19162668.898445498</v>
      </c>
      <c r="J7">
        <v>308579296.14557898</v>
      </c>
      <c r="K7">
        <v>1503219.0314249401</v>
      </c>
      <c r="L7">
        <v>17677194.3952378</v>
      </c>
      <c r="M7">
        <f>(D7-D$6)/($J7-$J$6)</f>
        <v>9.4105298411657788E-6</v>
      </c>
      <c r="N7">
        <f>(E7-E$6)/($J7-$J$6)</f>
        <v>3.9256990935191682E-5</v>
      </c>
      <c r="O7">
        <f>(F7-F$6)/($J7-$J$6)</f>
        <v>3.8555410869251759E-2</v>
      </c>
      <c r="P7">
        <f>(G7-G$6)/($J7-$J$6)</f>
        <v>2.8493977295174786E-3</v>
      </c>
      <c r="Q7">
        <f>(H7-H$6)/($J7-$J$6)</f>
        <v>3.4594394310084257E-4</v>
      </c>
      <c r="R7">
        <f t="shared" ref="R7:R17" si="0">(K7-K$6)/($J7-$J$6)</f>
        <v>4.8728025201500583E-3</v>
      </c>
      <c r="S7">
        <f t="shared" ref="S7:S17" si="1">(L7-L$6)/($J7-$J$6)</f>
        <v>5.7303739025976519E-2</v>
      </c>
      <c r="T7" t="s">
        <v>25</v>
      </c>
      <c r="U7">
        <f>(N7-AB$12)/AA$12</f>
        <v>15.090077247076438</v>
      </c>
      <c r="V7">
        <f>(O7-AE$12)/AD$12</f>
        <v>1.9816072206462774</v>
      </c>
      <c r="W7">
        <f>(P7-AH$12)/AG$12</f>
        <v>0.19455228276848033</v>
      </c>
      <c r="X7">
        <f>(S7-AK$12)/AJ$12</f>
        <v>0.47888188236538509</v>
      </c>
      <c r="Y7" s="7"/>
      <c r="Z7" s="7"/>
      <c r="AA7" s="4">
        <v>15.5</v>
      </c>
      <c r="AB7">
        <f>(E7-E$6)/($J7-$J$6)</f>
        <v>3.9256990935191682E-5</v>
      </c>
      <c r="AC7" s="7"/>
      <c r="AD7" s="4">
        <v>1.97</v>
      </c>
      <c r="AE7">
        <f>(F7-F$6)/($J7-$J$6)</f>
        <v>3.8555410869251759E-2</v>
      </c>
      <c r="AG7" s="4">
        <v>0.19900000000000001</v>
      </c>
      <c r="AH7">
        <f>(G7-G$6)/($J7-$J$6)</f>
        <v>2.8493977295174786E-3</v>
      </c>
      <c r="AJ7" s="4">
        <v>0.47799999999999998</v>
      </c>
      <c r="AK7">
        <f>(L7-L$6)/($J7-$J$6)</f>
        <v>5.7303739025976519E-2</v>
      </c>
    </row>
    <row r="8" spans="1:37" x14ac:dyDescent="0.75">
      <c r="B8">
        <v>3</v>
      </c>
      <c r="C8" t="s">
        <v>26</v>
      </c>
      <c r="D8">
        <v>10864.0973726716</v>
      </c>
      <c r="E8">
        <v>45116.251761924599</v>
      </c>
      <c r="F8">
        <v>25190228.5851565</v>
      </c>
      <c r="G8">
        <v>5116798.87097992</v>
      </c>
      <c r="H8">
        <v>657345.08716855198</v>
      </c>
      <c r="I8">
        <v>19188309.8654439</v>
      </c>
      <c r="J8">
        <v>307737896.632631</v>
      </c>
      <c r="K8">
        <v>3173920.9775313502</v>
      </c>
      <c r="L8">
        <v>36776321.907618299</v>
      </c>
      <c r="M8">
        <f t="shared" ref="M8:M17" si="2">(D8-D$6)/($J8-$J$6)</f>
        <v>3.4155895500528156E-5</v>
      </c>
      <c r="N8">
        <f t="shared" ref="N8:N17" si="3">(E8-E$6)/($J8-$J$6)</f>
        <v>1.4193559133164065E-4</v>
      </c>
      <c r="O8">
        <f t="shared" ref="O8:O17" si="4">(F8-F$6)/($J8-$J$6)</f>
        <v>8.0069596139786176E-2</v>
      </c>
      <c r="P8">
        <f t="shared" ref="P8:P17" si="5">(G8-G$6)/($J8-$J$6)</f>
        <v>1.6605541699036535E-2</v>
      </c>
      <c r="Q8">
        <f t="shared" ref="Q8:Q17" si="6">(H8-H$6)/($J8-$J$6)</f>
        <v>2.1330819809751407E-3</v>
      </c>
      <c r="R8">
        <f t="shared" si="0"/>
        <v>1.0317470741234779E-2</v>
      </c>
      <c r="S8">
        <f t="shared" si="1"/>
        <v>0.11955046080568166</v>
      </c>
      <c r="T8" t="s">
        <v>26</v>
      </c>
      <c r="U8">
        <f t="shared" ref="U8:U17" si="7">(N8-AB$12)/AA$12</f>
        <v>62.883849605983308</v>
      </c>
      <c r="V8">
        <f t="shared" ref="V8:V17" si="8">(O8-AE$12)/AD$12</f>
        <v>4.1414000795312926</v>
      </c>
      <c r="W8">
        <f t="shared" ref="W8:W17" si="9">(P8-AH$12)/AG$12</f>
        <v>1.2436354062746033</v>
      </c>
      <c r="X8">
        <f t="shared" ref="X8:X17" si="10">(S8-AK$12)/AJ$12</f>
        <v>1.0268555960681416</v>
      </c>
      <c r="Y8" s="7"/>
      <c r="Z8" s="7"/>
      <c r="AA8" s="4">
        <v>62.7</v>
      </c>
      <c r="AB8">
        <f>(E8-E$6)/($J8-$J$6)</f>
        <v>1.4193559133164065E-4</v>
      </c>
      <c r="AC8" s="7"/>
      <c r="AD8" s="4">
        <v>4.1180000000000003</v>
      </c>
      <c r="AE8">
        <f>(F8-F$6)/($J8-$J$6)</f>
        <v>8.0069596139786176E-2</v>
      </c>
      <c r="AG8" s="4">
        <v>1.23</v>
      </c>
      <c r="AH8">
        <f>(G8-G$6)/($J8-$J$6)</f>
        <v>1.6605541699036535E-2</v>
      </c>
      <c r="AJ8" s="4">
        <v>1.0229999999999999</v>
      </c>
      <c r="AK8">
        <f>(L8-L$6)/($J8-$J$6)</f>
        <v>0.11955046080568166</v>
      </c>
    </row>
    <row r="9" spans="1:37" x14ac:dyDescent="0.75">
      <c r="B9">
        <v>4</v>
      </c>
      <c r="C9" t="s">
        <v>27</v>
      </c>
      <c r="D9">
        <v>24089.884613459701</v>
      </c>
      <c r="E9">
        <v>100400.970461647</v>
      </c>
      <c r="F9">
        <v>37233977.054947101</v>
      </c>
      <c r="G9">
        <v>10107047.2597118</v>
      </c>
      <c r="H9">
        <v>1329843.8290562099</v>
      </c>
      <c r="I9">
        <v>20958788.119063899</v>
      </c>
      <c r="J9">
        <v>337600537.62605703</v>
      </c>
      <c r="K9">
        <v>4487026.3010573396</v>
      </c>
      <c r="L9">
        <v>51164527.579700403</v>
      </c>
      <c r="M9">
        <f t="shared" si="2"/>
        <v>7.0324805872613229E-5</v>
      </c>
      <c r="N9">
        <f t="shared" si="3"/>
        <v>2.9319836944770994E-4</v>
      </c>
      <c r="O9">
        <f t="shared" si="4"/>
        <v>0.10867289099031768</v>
      </c>
      <c r="P9">
        <f t="shared" si="5"/>
        <v>2.9923487926532738E-2</v>
      </c>
      <c r="Q9">
        <f t="shared" si="6"/>
        <v>3.9371098210247571E-3</v>
      </c>
      <c r="R9">
        <f t="shared" si="0"/>
        <v>1.3295537813270281E-2</v>
      </c>
      <c r="S9">
        <f t="shared" si="1"/>
        <v>0.15160729460964448</v>
      </c>
      <c r="T9" t="s">
        <v>27</v>
      </c>
      <c r="U9">
        <f t="shared" si="7"/>
        <v>133.29208224396226</v>
      </c>
      <c r="V9">
        <f t="shared" si="8"/>
        <v>5.6294984621968478</v>
      </c>
      <c r="W9">
        <f t="shared" si="9"/>
        <v>2.2593003090254564</v>
      </c>
      <c r="X9">
        <f t="shared" si="10"/>
        <v>1.3090600522526417</v>
      </c>
      <c r="Y9" s="7"/>
      <c r="Z9" s="7"/>
      <c r="AA9" s="4">
        <v>132.69999999999999</v>
      </c>
      <c r="AB9">
        <f>(E9-E$6)/($J9-$J$6)</f>
        <v>2.9319836944770994E-4</v>
      </c>
      <c r="AC9" s="7"/>
      <c r="AD9" s="4">
        <v>5.6929999999999996</v>
      </c>
      <c r="AE9">
        <f>(F9-F$6)/($J9-$J$6)</f>
        <v>0.10867289099031768</v>
      </c>
      <c r="AG9" s="4">
        <v>2.2709999999999999</v>
      </c>
      <c r="AH9">
        <f>(G9-G$6)/($J9-$J$6)</f>
        <v>2.9923487926532738E-2</v>
      </c>
      <c r="AJ9" s="4">
        <v>1.3169999999999999</v>
      </c>
      <c r="AK9">
        <f>(L9-L$6)/($J9-$J$6)</f>
        <v>0.15160729460964448</v>
      </c>
    </row>
    <row r="10" spans="1:37" x14ac:dyDescent="0.75">
      <c r="A10">
        <v>1</v>
      </c>
      <c r="B10">
        <v>5</v>
      </c>
      <c r="C10" t="s">
        <v>28</v>
      </c>
      <c r="D10">
        <v>34709.236546203902</v>
      </c>
      <c r="E10">
        <v>145333.11034343601</v>
      </c>
      <c r="F10">
        <v>48110929.774094798</v>
      </c>
      <c r="G10">
        <v>16229445.5507861</v>
      </c>
      <c r="H10">
        <v>2176091.7648897502</v>
      </c>
      <c r="I10">
        <v>18050175.218971599</v>
      </c>
      <c r="J10">
        <v>289276436.036982</v>
      </c>
      <c r="K10">
        <v>5397222.4351082304</v>
      </c>
      <c r="L10">
        <v>63418518.098530501</v>
      </c>
      <c r="M10">
        <f t="shared" si="2"/>
        <v>1.1880516188315978E-4</v>
      </c>
      <c r="N10">
        <f t="shared" si="3"/>
        <v>4.9759818009236976E-4</v>
      </c>
      <c r="O10">
        <f t="shared" si="4"/>
        <v>0.16445323574877327</v>
      </c>
      <c r="P10">
        <f t="shared" si="5"/>
        <v>5.6098892740479384E-2</v>
      </c>
      <c r="Q10">
        <f t="shared" si="6"/>
        <v>7.5218646055930823E-3</v>
      </c>
      <c r="R10">
        <f t="shared" si="0"/>
        <v>1.8665521986532811E-2</v>
      </c>
      <c r="S10">
        <f t="shared" si="1"/>
        <v>0.21932570928531217</v>
      </c>
      <c r="T10" t="s">
        <v>28</v>
      </c>
      <c r="U10">
        <f t="shared" si="7"/>
        <v>228.43399090297811</v>
      </c>
      <c r="V10">
        <f t="shared" si="8"/>
        <v>8.53149423762558</v>
      </c>
      <c r="W10">
        <f t="shared" si="9"/>
        <v>4.2555120019314607</v>
      </c>
      <c r="X10">
        <f t="shared" si="10"/>
        <v>1.9052024693138321</v>
      </c>
      <c r="Y10" s="7"/>
      <c r="Z10" s="7"/>
      <c r="AA10" s="4">
        <v>228.8</v>
      </c>
      <c r="AB10">
        <f>(E10-E$6)/($J10-$J$6)</f>
        <v>4.9759818009236976E-4</v>
      </c>
      <c r="AC10" s="7"/>
      <c r="AD10" s="4">
        <v>8.5030000000000001</v>
      </c>
      <c r="AE10">
        <f>(F10-F$6)/($J10-$J$6)</f>
        <v>0.16445323574877327</v>
      </c>
      <c r="AG10" s="4">
        <v>4.2530000000000001</v>
      </c>
      <c r="AH10">
        <f>(G10-G$6)/($J10-$J$6)</f>
        <v>5.6098892740479384E-2</v>
      </c>
      <c r="AJ10" s="4">
        <v>1.9019999999999999</v>
      </c>
      <c r="AK10">
        <f>(L10-L$6)/($J10-$J$6)</f>
        <v>0.21932570928531217</v>
      </c>
    </row>
    <row r="11" spans="1:37" x14ac:dyDescent="0.75">
      <c r="A11">
        <v>2</v>
      </c>
      <c r="B11">
        <v>6</v>
      </c>
      <c r="C11" t="s">
        <v>20</v>
      </c>
      <c r="D11">
        <v>667.01928099460497</v>
      </c>
      <c r="E11">
        <v>2774.3170506768502</v>
      </c>
      <c r="F11">
        <v>627853.59606206696</v>
      </c>
      <c r="G11">
        <v>16438.7840401592</v>
      </c>
      <c r="H11">
        <v>2191.40114331124</v>
      </c>
      <c r="I11">
        <v>6591.0133238962799</v>
      </c>
      <c r="J11">
        <v>178230.59572429</v>
      </c>
      <c r="K11">
        <v>806.02856090398905</v>
      </c>
      <c r="L11">
        <v>9038.8360419109795</v>
      </c>
      <c r="M11">
        <f t="shared" si="2"/>
        <v>6.9734755266605249E-3</v>
      </c>
      <c r="N11">
        <f t="shared" si="3"/>
        <v>2.9705331814936117E-2</v>
      </c>
      <c r="O11">
        <f t="shared" si="4"/>
        <v>1.5180510397278277</v>
      </c>
      <c r="P11">
        <f t="shared" si="5"/>
        <v>0.17064588302033237</v>
      </c>
      <c r="Q11">
        <f t="shared" si="6"/>
        <v>2.2333563245441574E-2</v>
      </c>
      <c r="R11">
        <f t="shared" si="0"/>
        <v>1.3087506926032225E-2</v>
      </c>
      <c r="S11">
        <f t="shared" si="1"/>
        <v>0.15598786900385617</v>
      </c>
      <c r="T11" t="s">
        <v>20</v>
      </c>
      <c r="U11">
        <f t="shared" si="7"/>
        <v>13823.747591531166</v>
      </c>
      <c r="V11">
        <f t="shared" si="8"/>
        <v>78.952986356162</v>
      </c>
      <c r="W11">
        <f t="shared" si="9"/>
        <v>12.991195098683397</v>
      </c>
      <c r="X11">
        <f t="shared" si="10"/>
        <v>1.3476233620995872</v>
      </c>
      <c r="Y11" s="7"/>
      <c r="AD11" s="4"/>
      <c r="AG11" s="4"/>
      <c r="AJ11" s="4"/>
    </row>
    <row r="12" spans="1:37" x14ac:dyDescent="0.75">
      <c r="A12">
        <v>3</v>
      </c>
      <c r="B12">
        <v>7</v>
      </c>
      <c r="C12">
        <v>43</v>
      </c>
      <c r="D12">
        <v>13418.3998752973</v>
      </c>
      <c r="E12">
        <v>54940.955405033601</v>
      </c>
      <c r="F12">
        <v>181057896.84453201</v>
      </c>
      <c r="G12">
        <v>223729.789226619</v>
      </c>
      <c r="H12">
        <v>21308.211741673498</v>
      </c>
      <c r="I12">
        <v>16473375.969500501</v>
      </c>
      <c r="J12">
        <v>263729040.65751299</v>
      </c>
      <c r="K12">
        <v>164478.063782513</v>
      </c>
      <c r="L12">
        <v>1993234.3902644201</v>
      </c>
      <c r="M12">
        <f t="shared" si="2"/>
        <v>4.9548682224531839E-5</v>
      </c>
      <c r="N12">
        <f t="shared" si="3"/>
        <v>2.0290456138274721E-4</v>
      </c>
      <c r="O12">
        <f t="shared" si="4"/>
        <v>0.68475227484795642</v>
      </c>
      <c r="P12">
        <f t="shared" si="5"/>
        <v>8.1512327216518249E-4</v>
      </c>
      <c r="Q12">
        <f t="shared" si="6"/>
        <v>7.6282696620073027E-5</v>
      </c>
      <c r="R12">
        <f t="shared" si="0"/>
        <v>6.2312492991077552E-4</v>
      </c>
      <c r="S12">
        <f t="shared" si="1"/>
        <v>7.5536917550932956E-3</v>
      </c>
      <c r="T12" s="22">
        <v>43</v>
      </c>
      <c r="U12" s="22">
        <f t="shared" si="7"/>
        <v>91.263054857405621</v>
      </c>
      <c r="V12">
        <f t="shared" si="8"/>
        <v>35.600269448029344</v>
      </c>
      <c r="W12">
        <f t="shared" si="9"/>
        <v>3.9412658865395835E-2</v>
      </c>
      <c r="X12">
        <f t="shared" si="10"/>
        <v>4.0919570769371867E-2</v>
      </c>
      <c r="Y12" s="7"/>
      <c r="Z12" s="7" t="s">
        <v>34</v>
      </c>
      <c r="AA12">
        <f>LINEST(AB7:AB10,AA7:AA10)</f>
        <v>2.1483677753114991E-6</v>
      </c>
      <c r="AB12">
        <f>INTERCEPT(AB7:AB10,AA7:AA10)</f>
        <v>6.8379552506114025E-6</v>
      </c>
      <c r="AC12" s="7"/>
      <c r="AD12">
        <f t="array" ref="AD12">LINEST(AE7:AE10,AD7:AD10)</f>
        <v>1.922137352188763E-2</v>
      </c>
      <c r="AE12">
        <f>INTERCEPT(AE7:AE10,AD7:AD10)</f>
        <v>4.6619830754006386E-4</v>
      </c>
      <c r="AG12">
        <f t="array" ref="AG12">LINEST(AH7:AH10,AG7:AG10)</f>
        <v>1.3112539570310576E-2</v>
      </c>
      <c r="AH12">
        <f>INTERCEPT(AH7:AH10,AG7:AG10)</f>
        <v>2.9832322322152771E-4</v>
      </c>
      <c r="AJ12">
        <f>LINEST(AK7:AK10,AJ7:AJ10)</f>
        <v>0.11359435721668636</v>
      </c>
      <c r="AK12">
        <f>INTERCEPT(AK7:AK10,AJ7:AJ10)</f>
        <v>2.9054594159637903E-3</v>
      </c>
    </row>
    <row r="13" spans="1:37" x14ac:dyDescent="0.75">
      <c r="A13">
        <v>4</v>
      </c>
      <c r="B13">
        <v>8</v>
      </c>
      <c r="C13">
        <v>44</v>
      </c>
      <c r="D13">
        <v>27052.344983936498</v>
      </c>
      <c r="E13">
        <v>111481.058525427</v>
      </c>
      <c r="F13">
        <v>196642993.36448801</v>
      </c>
      <c r="G13">
        <v>196294.919211334</v>
      </c>
      <c r="H13">
        <v>17578.0261152198</v>
      </c>
      <c r="I13">
        <v>16716672.310125399</v>
      </c>
      <c r="J13">
        <v>268032061.06968501</v>
      </c>
      <c r="K13">
        <v>165170.073764228</v>
      </c>
      <c r="L13">
        <v>2000127.38298715</v>
      </c>
      <c r="M13">
        <f t="shared" si="2"/>
        <v>9.9645084862159481E-5</v>
      </c>
      <c r="N13">
        <f t="shared" si="3"/>
        <v>4.1069617980076201E-4</v>
      </c>
      <c r="O13">
        <f t="shared" si="4"/>
        <v>0.73192912590891457</v>
      </c>
      <c r="P13">
        <f t="shared" si="5"/>
        <v>6.9962282446795658E-4</v>
      </c>
      <c r="Q13">
        <f t="shared" si="6"/>
        <v>6.1133540635874623E-5</v>
      </c>
      <c r="R13">
        <f t="shared" si="0"/>
        <v>6.1569931336169991E-4</v>
      </c>
      <c r="S13">
        <f t="shared" si="1"/>
        <v>7.4580931395002393E-3</v>
      </c>
      <c r="T13" s="22">
        <v>44</v>
      </c>
      <c r="U13" s="22">
        <f t="shared" si="7"/>
        <v>187.98374709916408</v>
      </c>
      <c r="V13">
        <f t="shared" si="8"/>
        <v>38.054664864009233</v>
      </c>
      <c r="W13">
        <f t="shared" si="9"/>
        <v>3.0604262362346025E-2</v>
      </c>
      <c r="X13">
        <f t="shared" si="10"/>
        <v>4.0077991857043527E-2</v>
      </c>
      <c r="Y13" s="7"/>
      <c r="Z13" s="7"/>
      <c r="AC13" s="7"/>
    </row>
    <row r="14" spans="1:37" x14ac:dyDescent="0.75">
      <c r="A14">
        <v>5</v>
      </c>
      <c r="B14">
        <v>9</v>
      </c>
      <c r="C14">
        <v>45</v>
      </c>
      <c r="D14">
        <v>28479.498802524598</v>
      </c>
      <c r="E14">
        <v>117158.42147334</v>
      </c>
      <c r="F14">
        <v>104899484.095268</v>
      </c>
      <c r="G14">
        <v>196374.147383851</v>
      </c>
      <c r="H14">
        <v>17282.104144839901</v>
      </c>
      <c r="I14">
        <v>17115220.112869602</v>
      </c>
      <c r="J14">
        <v>274746820.389467</v>
      </c>
      <c r="K14">
        <v>172277.03466625701</v>
      </c>
      <c r="L14">
        <v>2089940.73453713</v>
      </c>
      <c r="M14">
        <f t="shared" si="2"/>
        <v>1.0240555566027917E-4</v>
      </c>
      <c r="N14">
        <f t="shared" si="3"/>
        <v>4.2132800485745971E-4</v>
      </c>
      <c r="O14">
        <f t="shared" si="4"/>
        <v>0.37994924391108442</v>
      </c>
      <c r="P14">
        <f t="shared" si="5"/>
        <v>6.82804351255277E-4</v>
      </c>
      <c r="Q14">
        <f t="shared" si="6"/>
        <v>5.8561123869361312E-5</v>
      </c>
      <c r="R14">
        <f t="shared" si="0"/>
        <v>6.2652432395665474E-4</v>
      </c>
      <c r="S14">
        <f t="shared" si="1"/>
        <v>7.6027842391529167E-3</v>
      </c>
      <c r="T14" s="22">
        <v>45</v>
      </c>
      <c r="U14" s="22">
        <f t="shared" si="7"/>
        <v>192.93253900475676</v>
      </c>
      <c r="V14">
        <f t="shared" si="8"/>
        <v>19.742764229175506</v>
      </c>
      <c r="W14">
        <f t="shared" si="9"/>
        <v>2.9321637198662247E-2</v>
      </c>
      <c r="X14">
        <f t="shared" si="10"/>
        <v>4.135174438487968E-2</v>
      </c>
      <c r="Y14" s="7"/>
      <c r="Z14" s="7"/>
      <c r="AC14" s="7"/>
    </row>
    <row r="15" spans="1:37" x14ac:dyDescent="0.75">
      <c r="A15">
        <v>6</v>
      </c>
      <c r="B15">
        <v>10</v>
      </c>
      <c r="C15">
        <v>46</v>
      </c>
      <c r="D15">
        <v>45789.214781856499</v>
      </c>
      <c r="E15">
        <v>190440.29772230299</v>
      </c>
      <c r="F15">
        <v>199028730.932145</v>
      </c>
      <c r="G15">
        <v>195737.489967178</v>
      </c>
      <c r="H15">
        <v>17204.2491531124</v>
      </c>
      <c r="I15">
        <v>16965677.603729501</v>
      </c>
      <c r="J15">
        <v>272200457.559784</v>
      </c>
      <c r="K15">
        <v>170799.708724736</v>
      </c>
      <c r="L15">
        <v>2069147.81492458</v>
      </c>
      <c r="M15">
        <f t="shared" si="2"/>
        <v>1.6698708781036204E-4</v>
      </c>
      <c r="N15">
        <f t="shared" si="3"/>
        <v>6.9462406929546761E-4</v>
      </c>
      <c r="O15">
        <f t="shared" si="4"/>
        <v>0.72948401416360109</v>
      </c>
      <c r="P15">
        <f t="shared" si="5"/>
        <v>6.8685486761980833E-4</v>
      </c>
      <c r="Q15">
        <f t="shared" si="6"/>
        <v>5.8823055610151889E-5</v>
      </c>
      <c r="R15">
        <f t="shared" si="0"/>
        <v>6.2695816004754113E-4</v>
      </c>
      <c r="S15">
        <f t="shared" si="1"/>
        <v>7.5975154099773255E-3</v>
      </c>
      <c r="T15" s="22">
        <v>46</v>
      </c>
      <c r="U15" s="22">
        <f t="shared" si="7"/>
        <v>320.1435629172625</v>
      </c>
      <c r="V15">
        <f t="shared" si="8"/>
        <v>37.92745690238624</v>
      </c>
      <c r="W15">
        <f t="shared" si="9"/>
        <v>2.9630541232302118E-2</v>
      </c>
      <c r="X15">
        <f t="shared" si="10"/>
        <v>4.130536154241559E-2</v>
      </c>
      <c r="Y15" s="7"/>
      <c r="Z15" s="7"/>
      <c r="AC15" s="7"/>
    </row>
    <row r="16" spans="1:37" x14ac:dyDescent="0.75">
      <c r="A16">
        <v>7</v>
      </c>
      <c r="B16">
        <v>11</v>
      </c>
      <c r="C16">
        <v>47</v>
      </c>
      <c r="D16">
        <v>56877.413648907597</v>
      </c>
      <c r="E16">
        <v>236778.02099576601</v>
      </c>
      <c r="F16">
        <v>189827895.48565799</v>
      </c>
      <c r="G16">
        <v>185336.04813079999</v>
      </c>
      <c r="H16">
        <v>15822.527657823201</v>
      </c>
      <c r="I16">
        <v>16760882.7872463</v>
      </c>
      <c r="J16">
        <v>270084311.80616599</v>
      </c>
      <c r="K16">
        <v>168025.478163188</v>
      </c>
      <c r="L16">
        <v>2038094.2755652899</v>
      </c>
      <c r="M16">
        <f t="shared" si="2"/>
        <v>2.0937104320609178E-4</v>
      </c>
      <c r="N16">
        <f t="shared" si="3"/>
        <v>8.7172193607397896E-4</v>
      </c>
      <c r="O16">
        <f t="shared" si="4"/>
        <v>0.7011190275047523</v>
      </c>
      <c r="P16">
        <f t="shared" si="5"/>
        <v>6.5370820391072112E-4</v>
      </c>
      <c r="Q16">
        <f t="shared" si="6"/>
        <v>5.4165744128604209E-5</v>
      </c>
      <c r="R16">
        <f t="shared" si="0"/>
        <v>6.2159608079598945E-4</v>
      </c>
      <c r="S16">
        <f t="shared" si="1"/>
        <v>7.542038231412182E-3</v>
      </c>
      <c r="T16" s="22">
        <v>47</v>
      </c>
      <c r="U16" s="22">
        <f t="shared" si="7"/>
        <v>402.57724527541149</v>
      </c>
      <c r="V16">
        <f t="shared" si="8"/>
        <v>36.451756603104855</v>
      </c>
      <c r="W16">
        <f t="shared" si="9"/>
        <v>2.7102681275704702E-2</v>
      </c>
      <c r="X16">
        <f t="shared" si="10"/>
        <v>4.0816981838313574E-2</v>
      </c>
      <c r="Y16" s="7"/>
      <c r="Z16" s="7"/>
      <c r="AC16" s="7"/>
    </row>
    <row r="17" spans="1:30" x14ac:dyDescent="0.75">
      <c r="A17">
        <v>8</v>
      </c>
      <c r="B17">
        <v>12</v>
      </c>
      <c r="C17" t="s">
        <v>20</v>
      </c>
      <c r="D17">
        <v>874.83307413045497</v>
      </c>
      <c r="E17">
        <v>3671.5579799186098</v>
      </c>
      <c r="F17">
        <v>675727.14260161703</v>
      </c>
      <c r="G17">
        <v>14153.4599701509</v>
      </c>
      <c r="H17">
        <v>1864.4126233096499</v>
      </c>
      <c r="I17">
        <v>7568.0196031999703</v>
      </c>
      <c r="J17">
        <v>189816.30337439399</v>
      </c>
      <c r="K17">
        <v>319.20471936895598</v>
      </c>
      <c r="L17">
        <v>3150.5639561401299</v>
      </c>
      <c r="M17">
        <f t="shared" si="2"/>
        <v>9.2435050527419921E-3</v>
      </c>
      <c r="N17">
        <f t="shared" si="3"/>
        <v>3.9589640427345883E-2</v>
      </c>
      <c r="O17">
        <f t="shared" si="4"/>
        <v>2.0592977456846615</v>
      </c>
      <c r="P17">
        <f t="shared" si="5"/>
        <v>9.4471773925239616E-2</v>
      </c>
      <c r="Q17">
        <f t="shared" si="6"/>
        <v>1.1865667944272185E-2</v>
      </c>
      <c r="R17">
        <f t="shared" si="0"/>
        <v>1.677559358307141E-3</v>
      </c>
      <c r="S17">
        <f t="shared" si="1"/>
        <v>1.8459454412831956E-2</v>
      </c>
      <c r="T17" t="s">
        <v>20</v>
      </c>
      <c r="U17">
        <f t="shared" si="7"/>
        <v>18424.593278195131</v>
      </c>
      <c r="V17">
        <f t="shared" si="8"/>
        <v>107.11157269966701</v>
      </c>
      <c r="W17">
        <f t="shared" si="9"/>
        <v>7.1819383420772054</v>
      </c>
      <c r="X17">
        <f t="shared" si="10"/>
        <v>0.1369257714729458</v>
      </c>
      <c r="Y17" s="7"/>
      <c r="Z17" s="7"/>
      <c r="AC17" s="7"/>
    </row>
    <row r="18" spans="1:30" x14ac:dyDescent="0.75">
      <c r="V18" s="7"/>
      <c r="W18" s="7"/>
      <c r="X18" s="7"/>
      <c r="Y18" s="7"/>
      <c r="Z18" s="7"/>
      <c r="AC18" s="7"/>
    </row>
    <row r="19" spans="1:30" x14ac:dyDescent="0.75">
      <c r="V19" s="7"/>
      <c r="W19" s="7"/>
      <c r="X19" s="7"/>
      <c r="Y19" s="7"/>
      <c r="Z19" s="7"/>
      <c r="AC19" s="7"/>
    </row>
    <row r="20" spans="1:30" x14ac:dyDescent="0.75">
      <c r="V20" s="7"/>
      <c r="W20" s="7"/>
      <c r="X20" s="7"/>
      <c r="Y20" s="7"/>
      <c r="Z20" s="7"/>
      <c r="AC20" s="7"/>
    </row>
    <row r="21" spans="1:30" x14ac:dyDescent="0.75">
      <c r="V21" s="7"/>
      <c r="W21" s="7"/>
      <c r="X21" s="7"/>
      <c r="Y21" s="7"/>
      <c r="Z21" s="7"/>
      <c r="AC21" s="7"/>
    </row>
    <row r="22" spans="1:30" x14ac:dyDescent="0.75">
      <c r="V22" s="7"/>
      <c r="W22" s="7"/>
      <c r="X22" s="7"/>
      <c r="Y22" s="7"/>
      <c r="Z22" s="7"/>
      <c r="AC22" s="7"/>
      <c r="AD22" s="5"/>
    </row>
    <row r="23" spans="1:30" x14ac:dyDescent="0.75">
      <c r="V23" s="7"/>
      <c r="W23" s="7"/>
      <c r="X23" s="7"/>
      <c r="Y23" s="7"/>
      <c r="Z23" s="7"/>
      <c r="AC23" s="7"/>
      <c r="AD23" s="21"/>
    </row>
    <row r="24" spans="1:30" x14ac:dyDescent="0.75">
      <c r="Z24" s="7"/>
      <c r="AC24" s="7"/>
      <c r="AD24" s="21"/>
    </row>
    <row r="25" spans="1:30" x14ac:dyDescent="0.75">
      <c r="Z25" s="7"/>
      <c r="AC25" s="7"/>
      <c r="AD25" s="21"/>
    </row>
    <row r="26" spans="1:30" x14ac:dyDescent="0.75">
      <c r="Z26" s="7"/>
      <c r="AC26" s="7"/>
      <c r="AD26" s="21"/>
    </row>
    <row r="27" spans="1:30" x14ac:dyDescent="0.75">
      <c r="Z27" s="7"/>
      <c r="AC27" s="7"/>
      <c r="AD27" s="21"/>
    </row>
    <row r="28" spans="1:30" x14ac:dyDescent="0.75">
      <c r="Z28" s="7"/>
      <c r="AC28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>
      <selection activeCell="K11" sqref="K11"/>
    </sheetView>
  </sheetViews>
  <sheetFormatPr defaultRowHeight="14.75" x14ac:dyDescent="0.75"/>
  <cols>
    <col min="3" max="3" width="12.54296875" bestFit="1" customWidth="1"/>
    <col min="4" max="4" width="12.86328125" style="2" bestFit="1" customWidth="1"/>
    <col min="5" max="5" width="12.86328125" bestFit="1" customWidth="1"/>
    <col min="6" max="6" width="12.1328125" bestFit="1" customWidth="1"/>
    <col min="7" max="7" width="12.1328125" style="2" bestFit="1" customWidth="1"/>
  </cols>
  <sheetData>
    <row r="1" spans="1:8" x14ac:dyDescent="0.75">
      <c r="C1" s="5" t="s">
        <v>30</v>
      </c>
      <c r="D1" s="2" t="s">
        <v>12</v>
      </c>
      <c r="E1" t="s">
        <v>13</v>
      </c>
      <c r="F1" t="s">
        <v>14</v>
      </c>
      <c r="G1" s="2" t="s">
        <v>15</v>
      </c>
      <c r="H1" t="s">
        <v>35</v>
      </c>
    </row>
    <row r="2" spans="1:8" x14ac:dyDescent="0.75">
      <c r="B2" t="s">
        <v>36</v>
      </c>
      <c r="C2" t="s">
        <v>33</v>
      </c>
      <c r="D2" s="2" t="s">
        <v>33</v>
      </c>
      <c r="E2" t="s">
        <v>33</v>
      </c>
      <c r="F2" t="s">
        <v>33</v>
      </c>
      <c r="G2" s="2" t="s">
        <v>33</v>
      </c>
    </row>
    <row r="3" spans="1:8" x14ac:dyDescent="0.75">
      <c r="A3" t="s">
        <v>37</v>
      </c>
      <c r="B3">
        <v>15</v>
      </c>
      <c r="C3" s="7">
        <v>26.007693168636347</v>
      </c>
      <c r="D3" s="17">
        <v>-2.236159485813943E-2</v>
      </c>
      <c r="E3" s="7">
        <v>-1.1102777600233279E-2</v>
      </c>
      <c r="F3" s="7">
        <v>2.0920378414752958E-2</v>
      </c>
      <c r="G3" s="17">
        <v>2.7066355711041365E-2</v>
      </c>
    </row>
    <row r="4" spans="1:8" x14ac:dyDescent="0.75">
      <c r="B4">
        <v>16</v>
      </c>
      <c r="C4" s="7">
        <v>11.304460709575357</v>
      </c>
      <c r="D4" s="17">
        <v>0.88790255333375545</v>
      </c>
      <c r="E4" s="7">
        <v>0.88199236282578153</v>
      </c>
      <c r="F4" s="7">
        <v>2.2649342779794496E-2</v>
      </c>
      <c r="G4" s="17">
        <v>2.897727183967428E-2</v>
      </c>
    </row>
    <row r="5" spans="1:8" x14ac:dyDescent="0.75">
      <c r="B5">
        <v>17</v>
      </c>
      <c r="C5" s="7">
        <v>11.156665523343403</v>
      </c>
      <c r="D5" s="17">
        <v>1.7271743754609026</v>
      </c>
      <c r="E5" s="7">
        <v>1.7139572743550804</v>
      </c>
      <c r="F5" s="7">
        <v>2.3253725946672164E-2</v>
      </c>
      <c r="G5" s="17">
        <v>2.9431622816764778E-2</v>
      </c>
    </row>
    <row r="6" spans="1:8" x14ac:dyDescent="0.75">
      <c r="B6">
        <v>18</v>
      </c>
      <c r="C6" s="7">
        <v>8.2277057959182418</v>
      </c>
      <c r="D6" s="17">
        <v>3.8458449281559486</v>
      </c>
      <c r="E6" s="7">
        <v>3.8351024122730628</v>
      </c>
      <c r="F6" s="7">
        <v>2.5077669004465907E-2</v>
      </c>
      <c r="G6" s="17">
        <v>3.1778986472572698E-2</v>
      </c>
    </row>
    <row r="7" spans="1:8" x14ac:dyDescent="0.75">
      <c r="B7">
        <v>19</v>
      </c>
      <c r="C7" s="7">
        <v>8.6662922572744971</v>
      </c>
      <c r="D7" s="17">
        <v>6.6334207114811026</v>
      </c>
      <c r="E7" s="7">
        <v>6.6853622780872559</v>
      </c>
      <c r="F7" s="7">
        <v>2.6687368812565462E-2</v>
      </c>
      <c r="G7" s="17">
        <v>3.300318558471145E-2</v>
      </c>
    </row>
    <row r="8" spans="1:8" x14ac:dyDescent="0.75">
      <c r="B8">
        <v>20</v>
      </c>
      <c r="C8" s="7">
        <v>9.12291882506217</v>
      </c>
      <c r="D8" s="17">
        <v>8.1928861125503953</v>
      </c>
      <c r="E8" s="7">
        <v>8.1947276457872054</v>
      </c>
      <c r="F8" s="7">
        <v>3.4244830962917382E-2</v>
      </c>
      <c r="G8" s="17">
        <v>4.1094941651874689E-2</v>
      </c>
    </row>
    <row r="9" spans="1:8" x14ac:dyDescent="0.75">
      <c r="B9">
        <v>21</v>
      </c>
      <c r="C9" s="7">
        <v>11.148928742393606</v>
      </c>
      <c r="D9" s="17">
        <v>6.5826458270861581</v>
      </c>
      <c r="E9" s="7">
        <v>6.5833804038023915</v>
      </c>
      <c r="F9" s="7">
        <v>4.4551839199440731E-2</v>
      </c>
      <c r="G9" s="17">
        <v>5.1654781282379589E-2</v>
      </c>
    </row>
    <row r="10" spans="1:8" x14ac:dyDescent="0.75">
      <c r="C10" s="7"/>
      <c r="D10" s="17"/>
      <c r="E10" s="7"/>
      <c r="F10" s="7"/>
      <c r="G10" s="17"/>
    </row>
    <row r="11" spans="1:8" x14ac:dyDescent="0.75">
      <c r="B11">
        <v>22</v>
      </c>
      <c r="C11" s="7">
        <v>31.243127265018121</v>
      </c>
      <c r="D11" s="17">
        <v>1.3575543071441933E-2</v>
      </c>
      <c r="E11" s="7">
        <v>2.3740881819782449E-2</v>
      </c>
      <c r="F11" s="7">
        <v>6.2998184887966754E-2</v>
      </c>
      <c r="G11" s="17">
        <v>7.0756083954664928E-2</v>
      </c>
    </row>
    <row r="12" spans="1:8" x14ac:dyDescent="0.75">
      <c r="B12">
        <v>23</v>
      </c>
      <c r="C12" s="7">
        <v>7.4630788908867967</v>
      </c>
      <c r="D12" s="17">
        <v>-1.9898695984451372E-2</v>
      </c>
      <c r="E12" s="7">
        <v>-9.3161275195201149E-3</v>
      </c>
      <c r="F12" s="7">
        <v>0.21866597089356518</v>
      </c>
      <c r="G12" s="17">
        <v>0.2239199421899444</v>
      </c>
    </row>
    <row r="13" spans="1:8" x14ac:dyDescent="0.75">
      <c r="B13">
        <v>24</v>
      </c>
      <c r="C13" s="7">
        <v>7.5710325871678448</v>
      </c>
      <c r="D13" s="17">
        <v>-2.0608206613934189E-2</v>
      </c>
      <c r="E13" s="7">
        <v>-9.7131949359886387E-3</v>
      </c>
      <c r="F13" s="7">
        <v>0.41422969268841914</v>
      </c>
      <c r="G13" s="17">
        <v>0.41673485938010646</v>
      </c>
    </row>
    <row r="14" spans="1:8" x14ac:dyDescent="0.75">
      <c r="B14">
        <v>25</v>
      </c>
      <c r="C14" s="7">
        <v>12.33271011642068</v>
      </c>
      <c r="D14" s="17">
        <v>-7.6423896315596825E-3</v>
      </c>
      <c r="E14" s="7">
        <v>3.0867298301660941E-3</v>
      </c>
      <c r="F14" s="7">
        <v>0.54113234843546931</v>
      </c>
      <c r="G14" s="17">
        <v>0.54505503412794609</v>
      </c>
    </row>
    <row r="15" spans="1:8" x14ac:dyDescent="0.75">
      <c r="B15">
        <v>26</v>
      </c>
      <c r="C15" s="7">
        <v>8.3644039563163108</v>
      </c>
      <c r="D15" s="17">
        <v>-2.2291885649828678E-2</v>
      </c>
      <c r="E15" s="7">
        <v>-1.1813447369033982E-2</v>
      </c>
      <c r="F15" s="7">
        <v>0.80883672924023842</v>
      </c>
      <c r="G15" s="17">
        <v>0.8089110758572513</v>
      </c>
    </row>
    <row r="16" spans="1:8" x14ac:dyDescent="0.75">
      <c r="C16" s="7"/>
      <c r="D16" s="17"/>
      <c r="E16" s="7"/>
      <c r="F16" s="7"/>
      <c r="G16" s="17"/>
    </row>
    <row r="17" spans="1:7" x14ac:dyDescent="0.75">
      <c r="A17" t="s">
        <v>38</v>
      </c>
      <c r="B17">
        <v>28</v>
      </c>
      <c r="C17" s="7">
        <v>45.641021875737401</v>
      </c>
      <c r="D17" s="17">
        <v>-7.4554970514626702E-3</v>
      </c>
      <c r="E17" s="7">
        <v>3.4706678448879901E-3</v>
      </c>
      <c r="F17" s="7">
        <v>5.5256872664212801E-2</v>
      </c>
      <c r="G17" s="17">
        <v>6.2859030289611872E-2</v>
      </c>
    </row>
    <row r="18" spans="1:7" x14ac:dyDescent="0.75">
      <c r="C18" s="7"/>
      <c r="D18" s="17"/>
      <c r="E18" s="7"/>
      <c r="F18" s="7"/>
      <c r="G18" s="17"/>
    </row>
    <row r="19" spans="1:7" x14ac:dyDescent="0.75">
      <c r="B19">
        <v>30</v>
      </c>
      <c r="C19" s="7">
        <v>33.967083926725209</v>
      </c>
      <c r="D19" s="17">
        <v>2.0213562298441934</v>
      </c>
      <c r="E19" s="7">
        <v>2.001622302945838</v>
      </c>
      <c r="F19" s="7">
        <v>0.17567582285845079</v>
      </c>
      <c r="G19" s="17">
        <v>0.18007135793173878</v>
      </c>
    </row>
    <row r="20" spans="1:7" x14ac:dyDescent="0.75">
      <c r="B20">
        <v>31</v>
      </c>
      <c r="C20" s="7">
        <v>34.548769022764176</v>
      </c>
      <c r="D20" s="17">
        <v>2.1831990941515471</v>
      </c>
      <c r="E20" s="7">
        <v>2.1624547498418507</v>
      </c>
      <c r="F20" s="7">
        <v>0.34886097239962588</v>
      </c>
      <c r="G20" s="17">
        <v>0.35149490937216704</v>
      </c>
    </row>
    <row r="21" spans="1:7" x14ac:dyDescent="0.75">
      <c r="B21">
        <v>32</v>
      </c>
      <c r="C21" s="7">
        <v>29.240018062905705</v>
      </c>
      <c r="D21" s="17">
        <v>7.2817481982351486</v>
      </c>
      <c r="E21" s="7">
        <v>7.2984344464048743</v>
      </c>
      <c r="F21" s="7">
        <v>0.17560567172435024</v>
      </c>
      <c r="G21" s="17">
        <v>0.18034458369312856</v>
      </c>
    </row>
    <row r="22" spans="1:7" x14ac:dyDescent="0.75">
      <c r="B22">
        <v>33</v>
      </c>
      <c r="C22" s="7">
        <v>30.260662538505393</v>
      </c>
      <c r="D22" s="17">
        <v>7.3632362453549032</v>
      </c>
      <c r="E22" s="7">
        <v>7.3642895491447167</v>
      </c>
      <c r="F22" s="7">
        <v>0.322824451948721</v>
      </c>
      <c r="G22" s="17">
        <v>0.32490133402887428</v>
      </c>
    </row>
    <row r="24" spans="1:7" x14ac:dyDescent="0.75">
      <c r="B24">
        <v>35</v>
      </c>
      <c r="C24" s="7">
        <v>24.384669383163445</v>
      </c>
      <c r="D24" s="17">
        <v>2.0596451153080007</v>
      </c>
      <c r="E24" s="7">
        <v>2.1129974781562315</v>
      </c>
      <c r="F24" s="7">
        <v>1.9979886576766782E-2</v>
      </c>
      <c r="G24" s="17">
        <v>6.9756895123017054E-2</v>
      </c>
    </row>
    <row r="25" spans="1:7" x14ac:dyDescent="0.75">
      <c r="B25">
        <v>36</v>
      </c>
      <c r="C25" s="7">
        <v>16.980224887902423</v>
      </c>
      <c r="D25" s="17">
        <v>2.1345962802455682</v>
      </c>
      <c r="E25" s="7">
        <v>2.1845261252281887</v>
      </c>
      <c r="F25" s="7">
        <v>0.74721556764753472</v>
      </c>
      <c r="G25" s="17">
        <v>0.74057059341616982</v>
      </c>
    </row>
    <row r="26" spans="1:7" x14ac:dyDescent="0.75">
      <c r="B26">
        <v>37</v>
      </c>
      <c r="C26" s="7">
        <v>11.52702074139517</v>
      </c>
      <c r="D26" s="17">
        <v>6.7089594892327211</v>
      </c>
      <c r="E26" s="7">
        <v>6.9890301607568643</v>
      </c>
      <c r="F26" s="7">
        <v>2.8132558011140715E-2</v>
      </c>
      <c r="G26" s="17">
        <v>8.8325403949576373E-2</v>
      </c>
    </row>
    <row r="27" spans="1:7" x14ac:dyDescent="0.75">
      <c r="B27">
        <v>38</v>
      </c>
      <c r="C27" s="7">
        <v>11.353885094359677</v>
      </c>
      <c r="D27" s="17">
        <v>6.3151645845765474</v>
      </c>
      <c r="E27" s="7">
        <v>6.579706137567773</v>
      </c>
      <c r="F27" s="7">
        <v>0.62422005654889723</v>
      </c>
      <c r="G27" s="17">
        <v>0.627608783052793</v>
      </c>
    </row>
    <row r="28" spans="1:7" x14ac:dyDescent="0.75">
      <c r="B28">
        <v>39</v>
      </c>
      <c r="C28" s="7">
        <v>11.854576487720118</v>
      </c>
      <c r="D28" s="17">
        <v>3.9405109081389655</v>
      </c>
      <c r="E28" s="7">
        <v>4.0584344664113088</v>
      </c>
      <c r="F28" s="7">
        <v>2.4542379608349825E-2</v>
      </c>
      <c r="G28" s="17">
        <v>7.3878067996590746E-2</v>
      </c>
    </row>
    <row r="29" spans="1:7" x14ac:dyDescent="0.75">
      <c r="B29">
        <v>40</v>
      </c>
      <c r="C29" s="7">
        <v>14.299300425024592</v>
      </c>
      <c r="D29" s="17">
        <v>4.0962942455074192</v>
      </c>
      <c r="E29" s="7">
        <v>4.2096538008297539</v>
      </c>
      <c r="F29" s="7">
        <v>0.15029272233710367</v>
      </c>
      <c r="G29" s="17">
        <v>0.19279651550606852</v>
      </c>
    </row>
    <row r="30" spans="1:7" x14ac:dyDescent="0.75">
      <c r="B30">
        <v>41</v>
      </c>
      <c r="C30" s="7">
        <v>14.343421642333725</v>
      </c>
      <c r="D30" s="17">
        <v>4.1112609601159082</v>
      </c>
      <c r="E30" s="7">
        <v>4.2194992411389656</v>
      </c>
      <c r="F30" s="7">
        <v>0.28262423802971698</v>
      </c>
      <c r="G30" s="17">
        <v>0.31457490360778073</v>
      </c>
    </row>
    <row r="31" spans="1:7" x14ac:dyDescent="0.75">
      <c r="B31">
        <v>42</v>
      </c>
      <c r="C31" s="7">
        <v>14.390427763888937</v>
      </c>
      <c r="D31" s="17">
        <v>4.1598191373755284</v>
      </c>
      <c r="E31" s="7">
        <v>4.26540897070194</v>
      </c>
      <c r="F31" s="7">
        <v>0.69312896823704251</v>
      </c>
      <c r="G31" s="17">
        <v>0.6939103448643188</v>
      </c>
    </row>
    <row r="33" spans="2:8" x14ac:dyDescent="0.75">
      <c r="B33">
        <v>43</v>
      </c>
      <c r="C33" s="23">
        <v>35.600269448029344</v>
      </c>
      <c r="D33">
        <v>3.9412658865395835E-2</v>
      </c>
      <c r="G33">
        <v>4.0919570769371867E-2</v>
      </c>
      <c r="H33">
        <v>91.263054857405621</v>
      </c>
    </row>
    <row r="34" spans="2:8" x14ac:dyDescent="0.75">
      <c r="B34">
        <v>44</v>
      </c>
      <c r="C34" s="23">
        <v>38.054664864009233</v>
      </c>
      <c r="D34">
        <v>3.0604262362346025E-2</v>
      </c>
      <c r="G34">
        <v>4.0077991857043527E-2</v>
      </c>
      <c r="H34">
        <v>187.98374709916408</v>
      </c>
    </row>
    <row r="35" spans="2:8" x14ac:dyDescent="0.75">
      <c r="B35">
        <v>45</v>
      </c>
      <c r="C35" s="23">
        <v>19.742764229175506</v>
      </c>
      <c r="D35">
        <v>2.9321637198662247E-2</v>
      </c>
      <c r="G35">
        <v>4.135174438487968E-2</v>
      </c>
      <c r="H35">
        <v>192.93253900475676</v>
      </c>
    </row>
    <row r="36" spans="2:8" x14ac:dyDescent="0.75">
      <c r="B36">
        <v>46</v>
      </c>
      <c r="C36" s="23">
        <v>37.92745690238624</v>
      </c>
      <c r="D36">
        <v>2.9630541232302118E-2</v>
      </c>
      <c r="G36">
        <v>4.130536154241559E-2</v>
      </c>
      <c r="H36">
        <v>320.1435629172625</v>
      </c>
    </row>
    <row r="37" spans="2:8" x14ac:dyDescent="0.75">
      <c r="B37">
        <v>47</v>
      </c>
      <c r="C37" s="23">
        <v>36.451756603104855</v>
      </c>
      <c r="D37">
        <v>2.7102681275704702E-2</v>
      </c>
      <c r="G37">
        <v>4.0816981838313574E-2</v>
      </c>
      <c r="H37">
        <v>402.57724527541149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6"/>
  <sheetViews>
    <sheetView tabSelected="1" topLeftCell="K1" zoomScale="90" zoomScaleNormal="90" workbookViewId="0">
      <selection activeCell="Z23" sqref="Z23"/>
    </sheetView>
  </sheetViews>
  <sheetFormatPr defaultColWidth="9.1328125" defaultRowHeight="13" x14ac:dyDescent="0.6"/>
  <cols>
    <col min="1" max="1" width="9.1328125" style="8"/>
    <col min="2" max="10" width="10.40625" style="8" customWidth="1"/>
    <col min="11" max="14" width="9.1328125" style="8"/>
    <col min="15" max="15" width="9.1328125" style="28"/>
    <col min="16" max="16" width="9.1328125" style="78"/>
    <col min="17" max="24" width="9.1328125" style="8"/>
    <col min="25" max="25" width="10.40625" style="8" bestFit="1" customWidth="1"/>
    <col min="26" max="26" width="10.40625" style="8" customWidth="1"/>
    <col min="27" max="27" width="12.7265625" style="8" bestFit="1" customWidth="1"/>
    <col min="28" max="16384" width="9.1328125" style="8"/>
  </cols>
  <sheetData>
    <row r="1" spans="1:43" x14ac:dyDescent="0.6">
      <c r="B1" s="77" t="s">
        <v>39</v>
      </c>
      <c r="C1" s="77"/>
      <c r="D1" s="77"/>
      <c r="E1" s="77"/>
      <c r="F1" s="77"/>
      <c r="G1" s="77"/>
      <c r="H1" s="77"/>
      <c r="I1" s="77"/>
      <c r="J1" s="77"/>
      <c r="K1" s="77" t="s">
        <v>40</v>
      </c>
      <c r="L1" s="77"/>
      <c r="M1" s="77"/>
      <c r="N1" s="34"/>
      <c r="P1" s="33" t="s">
        <v>70</v>
      </c>
      <c r="X1" s="33" t="s">
        <v>67</v>
      </c>
      <c r="Y1" s="33"/>
      <c r="Z1" s="33"/>
    </row>
    <row r="2" spans="1:43" ht="23.25" customHeight="1" x14ac:dyDescent="0.95">
      <c r="B2" s="9" t="s">
        <v>41</v>
      </c>
      <c r="C2" s="10" t="s">
        <v>42</v>
      </c>
      <c r="D2" s="9" t="s">
        <v>43</v>
      </c>
      <c r="E2" s="10" t="s">
        <v>44</v>
      </c>
      <c r="F2" s="9" t="s">
        <v>52</v>
      </c>
      <c r="G2" s="10" t="s">
        <v>53</v>
      </c>
      <c r="H2" s="10" t="s">
        <v>78</v>
      </c>
      <c r="I2" s="9" t="s">
        <v>71</v>
      </c>
      <c r="J2" s="80"/>
      <c r="K2" s="11" t="s">
        <v>45</v>
      </c>
      <c r="L2" s="11" t="s">
        <v>46</v>
      </c>
      <c r="M2" s="12" t="s">
        <v>47</v>
      </c>
      <c r="N2" s="11" t="s">
        <v>54</v>
      </c>
      <c r="P2" s="11" t="s">
        <v>45</v>
      </c>
      <c r="Q2" s="11" t="s">
        <v>46</v>
      </c>
      <c r="R2" s="11" t="s">
        <v>44</v>
      </c>
      <c r="S2" s="11" t="s">
        <v>54</v>
      </c>
      <c r="T2" s="11" t="s">
        <v>76</v>
      </c>
      <c r="U2" s="11" t="s">
        <v>77</v>
      </c>
      <c r="V2" s="11" t="s">
        <v>137</v>
      </c>
      <c r="W2" s="11" t="s">
        <v>139</v>
      </c>
      <c r="X2" s="11"/>
      <c r="Y2" s="11" t="s">
        <v>74</v>
      </c>
      <c r="Z2" s="11" t="s">
        <v>75</v>
      </c>
      <c r="AA2" s="11" t="s">
        <v>72</v>
      </c>
      <c r="AB2" s="11" t="s">
        <v>73</v>
      </c>
      <c r="AC2" s="11" t="s">
        <v>138</v>
      </c>
      <c r="AD2" s="11" t="s">
        <v>147</v>
      </c>
      <c r="AE2" s="73" t="s">
        <v>140</v>
      </c>
      <c r="AF2" s="11" t="s">
        <v>151</v>
      </c>
      <c r="AG2" s="11" t="s">
        <v>152</v>
      </c>
      <c r="AH2" s="11" t="s">
        <v>143</v>
      </c>
      <c r="AI2" s="11" t="s">
        <v>144</v>
      </c>
      <c r="AJ2" s="11" t="s">
        <v>48</v>
      </c>
      <c r="AK2" s="11" t="s">
        <v>49</v>
      </c>
      <c r="AL2" s="11" t="s">
        <v>69</v>
      </c>
      <c r="AM2" s="73" t="s">
        <v>141</v>
      </c>
      <c r="AN2" s="11" t="s">
        <v>153</v>
      </c>
      <c r="AO2" s="11" t="s">
        <v>154</v>
      </c>
      <c r="AP2" s="11" t="s">
        <v>142</v>
      </c>
      <c r="AQ2" s="11" t="s">
        <v>145</v>
      </c>
    </row>
    <row r="3" spans="1:43" ht="16.75" x14ac:dyDescent="0.95">
      <c r="A3" s="8" t="s">
        <v>36</v>
      </c>
      <c r="B3" s="8" t="s">
        <v>50</v>
      </c>
      <c r="C3" s="11" t="s">
        <v>51</v>
      </c>
      <c r="D3" s="8" t="s">
        <v>50</v>
      </c>
      <c r="E3" s="11" t="s">
        <v>51</v>
      </c>
      <c r="F3" s="8" t="s">
        <v>50</v>
      </c>
      <c r="G3" s="11" t="s">
        <v>51</v>
      </c>
      <c r="H3" s="11"/>
      <c r="K3" s="11" t="s">
        <v>51</v>
      </c>
      <c r="L3" s="11" t="s">
        <v>51</v>
      </c>
      <c r="M3" s="12" t="s">
        <v>51</v>
      </c>
      <c r="N3" s="11" t="s">
        <v>51</v>
      </c>
      <c r="O3" s="27" t="s">
        <v>65</v>
      </c>
      <c r="P3" s="11" t="s">
        <v>51</v>
      </c>
      <c r="Q3" s="11" t="s">
        <v>51</v>
      </c>
      <c r="R3" s="11" t="s">
        <v>51</v>
      </c>
      <c r="S3" s="11" t="s">
        <v>51</v>
      </c>
      <c r="X3" s="27" t="s">
        <v>68</v>
      </c>
      <c r="Y3" s="36" t="s">
        <v>39</v>
      </c>
      <c r="Z3" s="36"/>
      <c r="AA3" s="8" t="s">
        <v>146</v>
      </c>
      <c r="AB3" s="8" t="s">
        <v>148</v>
      </c>
      <c r="AC3" s="8" t="s">
        <v>150</v>
      </c>
      <c r="AD3" s="8" t="s">
        <v>149</v>
      </c>
      <c r="AF3" s="11" t="s">
        <v>51</v>
      </c>
      <c r="AG3" s="11" t="s">
        <v>51</v>
      </c>
      <c r="AH3" s="11" t="s">
        <v>51</v>
      </c>
      <c r="AI3" s="11" t="s">
        <v>51</v>
      </c>
      <c r="AJ3" s="11"/>
      <c r="AK3" s="11"/>
      <c r="AL3" s="11"/>
      <c r="AN3" s="11" t="s">
        <v>51</v>
      </c>
      <c r="AO3" s="11" t="s">
        <v>51</v>
      </c>
      <c r="AP3" s="11" t="s">
        <v>51</v>
      </c>
      <c r="AQ3" s="11" t="s">
        <v>51</v>
      </c>
    </row>
    <row r="4" spans="1:43" ht="14.75" x14ac:dyDescent="0.75">
      <c r="A4">
        <v>15</v>
      </c>
      <c r="B4" s="75">
        <v>-1.4277995180986024E-3</v>
      </c>
      <c r="C4" s="13">
        <f>B4/0.01</f>
        <v>-0.14277995180986025</v>
      </c>
      <c r="D4" s="13"/>
      <c r="E4" s="13"/>
      <c r="F4" s="13"/>
      <c r="G4" s="13"/>
      <c r="H4" s="13"/>
      <c r="I4" s="26">
        <v>0.24256800000000001</v>
      </c>
      <c r="J4">
        <v>19.304926462101523</v>
      </c>
      <c r="K4" s="6">
        <v>26.007693168636347</v>
      </c>
      <c r="L4" s="6">
        <v>-2.236159485813943E-2</v>
      </c>
      <c r="M4" s="6">
        <v>2.7066355711041365E-2</v>
      </c>
      <c r="N4" s="6"/>
      <c r="O4" s="29">
        <v>0.43798191050564567</v>
      </c>
      <c r="P4" s="14">
        <f>((1+O4)/O4)*K4</f>
        <v>85.388440511855919</v>
      </c>
      <c r="Q4" s="14">
        <v>0</v>
      </c>
      <c r="R4" s="14">
        <f>((1+O4)/O4)*M4</f>
        <v>8.8864240650612353E-2</v>
      </c>
      <c r="S4" s="14"/>
      <c r="T4" s="15"/>
      <c r="X4" s="14">
        <v>0.59811386425952584</v>
      </c>
      <c r="Y4" s="14"/>
      <c r="Z4" s="14"/>
      <c r="AA4" s="15"/>
      <c r="AD4" s="8">
        <v>1E-4</v>
      </c>
      <c r="AI4" s="8">
        <f>AD4*J4</f>
        <v>1.9304926462101525E-3</v>
      </c>
      <c r="AJ4" s="14"/>
      <c r="AK4" s="14"/>
      <c r="AQ4" s="14"/>
    </row>
    <row r="5" spans="1:43" ht="14.75" x14ac:dyDescent="0.75">
      <c r="A5">
        <v>16</v>
      </c>
      <c r="B5" s="75">
        <v>1.0263570864431129</v>
      </c>
      <c r="C5" s="26">
        <v>84.071837794304315</v>
      </c>
      <c r="D5" s="13"/>
      <c r="E5" s="13"/>
      <c r="F5" s="13"/>
      <c r="G5" s="13"/>
      <c r="H5" s="13"/>
      <c r="I5" s="26">
        <v>0.23028674641029431</v>
      </c>
      <c r="J5">
        <v>18.416480988217117</v>
      </c>
      <c r="K5" s="6">
        <v>11.304460709575357</v>
      </c>
      <c r="L5" s="6">
        <v>0.88790255333375545</v>
      </c>
      <c r="M5" s="6">
        <v>2.897727183967428E-2</v>
      </c>
      <c r="N5" s="6"/>
      <c r="O5" s="29">
        <v>0.39465886954939638</v>
      </c>
      <c r="P5" s="14">
        <f t="shared" ref="P5:P39" si="0">((1+O5)/O5)*K5</f>
        <v>39.948085829371294</v>
      </c>
      <c r="Q5" s="14">
        <f>((1+O5)/O5)*L5</f>
        <v>3.1377000920220977</v>
      </c>
      <c r="R5" s="14"/>
      <c r="S5" s="14"/>
      <c r="T5" s="14">
        <f>Q5/C5</f>
        <v>3.7321654603281074E-2</v>
      </c>
      <c r="X5" s="14">
        <v>0.58100085957189807</v>
      </c>
      <c r="Y5" s="14">
        <f>B5/10</f>
        <v>0.10263570864431129</v>
      </c>
      <c r="AA5" s="14">
        <v>1.4E-2</v>
      </c>
      <c r="AD5" s="8">
        <v>1E-4</v>
      </c>
      <c r="AF5" s="8">
        <f>AA5*C5</f>
        <v>1.1770057291202605</v>
      </c>
      <c r="AI5" s="8">
        <f t="shared" ref="AI5:AI39" si="1">AD5*J5</f>
        <v>1.8416480988217119E-3</v>
      </c>
      <c r="AJ5" s="14">
        <f>(T5-((1-X5)*AA5))/X5</f>
        <v>5.4140482099226651E-2</v>
      </c>
      <c r="AK5" s="14"/>
      <c r="AN5" s="14">
        <f>(Q5-((1-X5)*AF5))/X5</f>
        <v>4.5516898291516199</v>
      </c>
      <c r="AO5" s="14"/>
      <c r="AQ5" s="14">
        <f>(P5-((1-X5)*AI5))/X5</f>
        <v>68.756032839324035</v>
      </c>
    </row>
    <row r="6" spans="1:43" ht="14.75" x14ac:dyDescent="0.75">
      <c r="A6">
        <v>17</v>
      </c>
      <c r="B6" s="75">
        <v>2.0688859302128675</v>
      </c>
      <c r="C6" s="26">
        <v>193.30365021757319</v>
      </c>
      <c r="D6" s="13"/>
      <c r="E6" s="13"/>
      <c r="F6" s="13"/>
      <c r="G6" s="13"/>
      <c r="H6" s="13"/>
      <c r="I6" s="26">
        <v>0.23112374304224614</v>
      </c>
      <c r="J6">
        <v>21.773710683663058</v>
      </c>
      <c r="K6" s="6">
        <v>11.156665523343403</v>
      </c>
      <c r="L6" s="6">
        <v>1.7271743754609026</v>
      </c>
      <c r="M6" s="6">
        <v>2.9431622816764778E-2</v>
      </c>
      <c r="N6" s="6"/>
      <c r="O6" s="29">
        <v>0.40447569480701823</v>
      </c>
      <c r="P6" s="14">
        <f t="shared" si="0"/>
        <v>38.739696263092611</v>
      </c>
      <c r="Q6" s="14">
        <f t="shared" ref="Q5:Q10" si="2">((1+O6)/O6)*L6</f>
        <v>5.9973305248556521</v>
      </c>
      <c r="R6" s="14"/>
      <c r="S6" s="14"/>
      <c r="T6" s="14">
        <f t="shared" ref="T6:T10" si="3">Q6/C6</f>
        <v>3.10254385683113E-2</v>
      </c>
      <c r="X6" s="14">
        <v>0.60671757106359137</v>
      </c>
      <c r="Y6" s="14">
        <f>B6/10</f>
        <v>0.20688859302128676</v>
      </c>
      <c r="Z6" s="14"/>
      <c r="AA6" s="14">
        <v>1.4E-2</v>
      </c>
      <c r="AD6" s="8">
        <v>1E-4</v>
      </c>
      <c r="AF6" s="8">
        <f>AA6*C6</f>
        <v>2.7062511030460246</v>
      </c>
      <c r="AI6" s="8">
        <f t="shared" si="1"/>
        <v>2.1773710683663061E-3</v>
      </c>
      <c r="AJ6" s="14">
        <f>(T6-((1-X6)*AA6))/X6</f>
        <v>4.206155512929232E-2</v>
      </c>
      <c r="AK6" s="14"/>
      <c r="AN6" s="14">
        <f t="shared" ref="AN6:AN39" si="4">(Q6-((1-X6)*AF6))/X6</f>
        <v>8.1306521403198939</v>
      </c>
      <c r="AO6" s="14"/>
      <c r="AQ6" s="14">
        <f t="shared" ref="AQ6:AQ39" si="5">(P6-((1-X6)*AI6))/X6</f>
        <v>63.849873135205186</v>
      </c>
    </row>
    <row r="7" spans="1:43" ht="14.75" x14ac:dyDescent="0.75">
      <c r="A7">
        <v>18</v>
      </c>
      <c r="B7" s="75">
        <v>4.9283376474569298</v>
      </c>
      <c r="C7" s="26">
        <v>460.06512511512091</v>
      </c>
      <c r="D7" s="13"/>
      <c r="E7" s="13"/>
      <c r="F7" s="13"/>
      <c r="G7" s="13"/>
      <c r="H7" s="13"/>
      <c r="I7" s="26">
        <v>0.22568326493455904</v>
      </c>
      <c r="J7">
        <v>20.852883107752895</v>
      </c>
      <c r="K7" s="6">
        <v>8.2277057959182418</v>
      </c>
      <c r="L7" s="6">
        <v>3.8458449281559486</v>
      </c>
      <c r="M7" s="6">
        <v>3.1778986472572698E-2</v>
      </c>
      <c r="N7" s="6"/>
      <c r="O7" s="29">
        <v>0.3651720156315067</v>
      </c>
      <c r="P7" s="14">
        <f t="shared" si="0"/>
        <v>30.758747178401336</v>
      </c>
      <c r="Q7" s="14">
        <f t="shared" si="2"/>
        <v>14.377443088834207</v>
      </c>
      <c r="R7" s="14"/>
      <c r="S7" s="14"/>
      <c r="T7" s="14">
        <f t="shared" si="3"/>
        <v>3.1250886676612528E-2</v>
      </c>
      <c r="X7" s="14">
        <v>0.53494393123001061</v>
      </c>
      <c r="Y7" s="14">
        <f>B7/10</f>
        <v>0.49283376474569296</v>
      </c>
      <c r="Z7" s="14"/>
      <c r="AA7" s="14">
        <v>1.4E-2</v>
      </c>
      <c r="AD7" s="8">
        <v>1E-4</v>
      </c>
      <c r="AF7" s="8">
        <f>AA7*C7</f>
        <v>6.4409117516116927</v>
      </c>
      <c r="AI7" s="8">
        <f t="shared" si="1"/>
        <v>2.0852883107752894E-3</v>
      </c>
      <c r="AJ7" s="14">
        <f>(T7-((1-X7)*AA7))/X7</f>
        <v>4.6248027633376668E-2</v>
      </c>
      <c r="AK7" s="14"/>
      <c r="AN7" s="14">
        <f t="shared" si="4"/>
        <v>21.277104619477001</v>
      </c>
      <c r="AO7" s="14"/>
      <c r="AQ7" s="14">
        <f t="shared" si="5"/>
        <v>57.497198503953697</v>
      </c>
    </row>
    <row r="8" spans="1:43" ht="14.75" x14ac:dyDescent="0.75">
      <c r="A8">
        <v>19</v>
      </c>
      <c r="B8" s="75">
        <v>9.4281383888167749</v>
      </c>
      <c r="C8" s="26">
        <v>813.6407412758133</v>
      </c>
      <c r="D8" s="13"/>
      <c r="E8" s="13"/>
      <c r="F8" s="13"/>
      <c r="G8" s="13"/>
      <c r="H8" s="13"/>
      <c r="I8" s="26">
        <v>0.21988867286719999</v>
      </c>
      <c r="J8">
        <v>18.452532202507641</v>
      </c>
      <c r="K8" s="6">
        <v>8.6662922572744971</v>
      </c>
      <c r="L8" s="6">
        <v>6.6334207114811026</v>
      </c>
      <c r="M8" s="6">
        <v>3.300318558471145E-2</v>
      </c>
      <c r="N8" s="6"/>
      <c r="O8" s="29">
        <v>0.28709182419098933</v>
      </c>
      <c r="P8" s="14">
        <f t="shared" si="0"/>
        <v>38.852774514983103</v>
      </c>
      <c r="Q8" s="14">
        <f t="shared" si="2"/>
        <v>29.738992352797457</v>
      </c>
      <c r="R8" s="14"/>
      <c r="S8" s="14"/>
      <c r="T8" s="14">
        <f t="shared" si="3"/>
        <v>3.6550520203997919E-2</v>
      </c>
      <c r="X8" s="14">
        <v>0.42263251659134843</v>
      </c>
      <c r="Y8" s="14">
        <f>B8/10</f>
        <v>0.94281383888167747</v>
      </c>
      <c r="Z8" s="14"/>
      <c r="AA8" s="14">
        <v>1.4E-2</v>
      </c>
      <c r="AD8" s="8">
        <v>1E-4</v>
      </c>
      <c r="AF8" s="8">
        <f>AA8*C8</f>
        <v>11.390970377861386</v>
      </c>
      <c r="AI8" s="8">
        <f t="shared" si="1"/>
        <v>1.8452532202507641E-3</v>
      </c>
      <c r="AJ8" s="14">
        <f>(T8-((1-X8)*AA8))/X8</f>
        <v>6.7357276874657646E-2</v>
      </c>
      <c r="AK8" s="14"/>
      <c r="AN8" s="14">
        <f t="shared" si="4"/>
        <v>54.804624686616641</v>
      </c>
      <c r="AO8" s="14"/>
      <c r="AQ8" s="14">
        <f t="shared" si="5"/>
        <v>91.927874928141279</v>
      </c>
    </row>
    <row r="9" spans="1:43" ht="14.75" x14ac:dyDescent="0.75">
      <c r="A9">
        <v>20</v>
      </c>
      <c r="B9" s="75">
        <v>21.607529456532411</v>
      </c>
      <c r="C9" s="26">
        <v>1850.6860073477412</v>
      </c>
      <c r="D9" s="13"/>
      <c r="E9" s="13"/>
      <c r="F9" s="13"/>
      <c r="G9" s="13"/>
      <c r="H9" s="13"/>
      <c r="I9" s="26">
        <v>0.23582380105243744</v>
      </c>
      <c r="J9">
        <v>21.015848765524662</v>
      </c>
      <c r="K9" s="6">
        <v>9.12291882506217</v>
      </c>
      <c r="L9" s="6">
        <v>8.1928861125503953</v>
      </c>
      <c r="M9" s="6">
        <v>4.1094941651874689E-2</v>
      </c>
      <c r="N9" s="6"/>
      <c r="O9" s="29">
        <v>0.24102837234582872</v>
      </c>
      <c r="P9" s="14">
        <f t="shared" si="0"/>
        <v>46.972897797548278</v>
      </c>
      <c r="Q9" s="14">
        <f t="shared" si="2"/>
        <v>42.184262450582501</v>
      </c>
      <c r="R9" s="14"/>
      <c r="S9" s="14"/>
      <c r="T9" s="14">
        <f t="shared" si="3"/>
        <v>2.2793851730168801E-2</v>
      </c>
      <c r="X9" s="14">
        <v>0.35502373979372737</v>
      </c>
      <c r="Y9" s="14">
        <f>B9/10</f>
        <v>2.1607529456532411</v>
      </c>
      <c r="Z9" s="14"/>
      <c r="AA9" s="14">
        <v>1.4E-2</v>
      </c>
      <c r="AD9" s="8">
        <v>1E-4</v>
      </c>
      <c r="AF9" s="8">
        <f>AA9*C9</f>
        <v>25.909604102868379</v>
      </c>
      <c r="AI9" s="8">
        <f t="shared" si="1"/>
        <v>2.1015848765524666E-3</v>
      </c>
      <c r="AJ9" s="14">
        <f>(T9-((1-X9)*AA9))/X9</f>
        <v>3.8769756904927323E-2</v>
      </c>
      <c r="AK9" s="14"/>
      <c r="AN9" s="14">
        <f t="shared" si="4"/>
        <v>71.750646612222482</v>
      </c>
      <c r="AO9" s="14"/>
      <c r="AQ9" s="14">
        <f t="shared" si="5"/>
        <v>132.30535612205838</v>
      </c>
    </row>
    <row r="10" spans="1:43" ht="15.5" thickBot="1" x14ac:dyDescent="0.9">
      <c r="A10">
        <v>21</v>
      </c>
      <c r="B10" s="76">
        <v>49.243602927752484</v>
      </c>
      <c r="C10" s="26">
        <v>5578.8051628532639</v>
      </c>
      <c r="D10" s="13"/>
      <c r="E10" s="13"/>
      <c r="F10" s="13"/>
      <c r="G10" s="13"/>
      <c r="H10" s="13"/>
      <c r="I10" s="31">
        <v>0.22373563815636341</v>
      </c>
      <c r="J10">
        <v>25.346998575474821</v>
      </c>
      <c r="K10" s="6">
        <v>11.148928742393606</v>
      </c>
      <c r="L10" s="6">
        <v>6.5826458270861581</v>
      </c>
      <c r="M10" s="6">
        <v>5.1654781282379589E-2</v>
      </c>
      <c r="N10" s="6"/>
      <c r="O10" s="29">
        <v>0.25874810816314975</v>
      </c>
      <c r="P10" s="14">
        <f t="shared" si="0"/>
        <v>54.236891091334975</v>
      </c>
      <c r="Q10" s="14">
        <f t="shared" si="2"/>
        <v>32.023008942458461</v>
      </c>
      <c r="R10" s="14"/>
      <c r="S10" s="14"/>
      <c r="T10" s="14">
        <f t="shared" si="3"/>
        <v>5.740119614803035E-3</v>
      </c>
      <c r="X10" s="14">
        <v>2.1516415201533537E-2</v>
      </c>
      <c r="Y10" s="14">
        <f>B10/10</f>
        <v>4.9243602927752486</v>
      </c>
      <c r="Z10" s="14"/>
      <c r="AA10" s="14">
        <v>1.4E-2</v>
      </c>
      <c r="AD10" s="8">
        <v>1E-4</v>
      </c>
      <c r="AF10" s="8">
        <f>AA10*C10</f>
        <v>78.103272279945699</v>
      </c>
      <c r="AI10" s="8">
        <f t="shared" si="1"/>
        <v>2.5346998575474823E-3</v>
      </c>
      <c r="AJ10" s="14">
        <f>(T10-((1-X10)*AA10))/X10</f>
        <v>-0.36988738587867831</v>
      </c>
      <c r="AK10" s="14"/>
      <c r="AN10" s="14">
        <f t="shared" si="4"/>
        <v>-2063.5296580142676</v>
      </c>
      <c r="AO10" s="14"/>
      <c r="AQ10" s="14">
        <f t="shared" si="5"/>
        <v>2520.6062636896195</v>
      </c>
    </row>
    <row r="11" spans="1:43" ht="15.5" thickTop="1" x14ac:dyDescent="0.75">
      <c r="A11"/>
      <c r="B11" s="13"/>
      <c r="C11" s="26"/>
      <c r="D11" s="13"/>
      <c r="F11"/>
      <c r="G11" t="s">
        <v>66</v>
      </c>
      <c r="H11"/>
      <c r="I11" s="32">
        <f>AVERAGE(I4:I10)</f>
        <v>0.22987283806615719</v>
      </c>
      <c r="J11" s="32"/>
      <c r="K11" s="6"/>
      <c r="L11" s="6"/>
      <c r="M11" s="6"/>
      <c r="N11" s="6"/>
      <c r="O11" s="29"/>
      <c r="P11" s="14"/>
      <c r="Q11" s="14"/>
      <c r="R11" s="14"/>
      <c r="S11" s="14"/>
      <c r="T11" s="14"/>
      <c r="X11" s="14"/>
      <c r="Y11" s="14"/>
      <c r="Z11" s="14"/>
      <c r="AA11" s="14"/>
      <c r="AD11" s="8">
        <v>1E-4</v>
      </c>
      <c r="AJ11" s="14"/>
      <c r="AK11" s="14"/>
      <c r="AN11" s="14"/>
      <c r="AO11" s="14"/>
      <c r="AQ11" s="14"/>
    </row>
    <row r="12" spans="1:43" ht="14.75" x14ac:dyDescent="0.75">
      <c r="A12"/>
      <c r="B12" s="13"/>
      <c r="C12" s="13"/>
      <c r="D12" s="13"/>
      <c r="E12"/>
      <c r="F12"/>
      <c r="G12"/>
      <c r="H12"/>
      <c r="I12"/>
      <c r="J12"/>
      <c r="K12" s="6"/>
      <c r="L12" s="6"/>
      <c r="M12" s="6"/>
      <c r="N12" s="6"/>
      <c r="O12" s="29"/>
      <c r="P12" s="14"/>
      <c r="Q12" s="14"/>
      <c r="R12" s="14"/>
      <c r="S12" s="14"/>
      <c r="T12" s="14"/>
      <c r="X12" s="14"/>
      <c r="Y12" s="14"/>
      <c r="Z12" s="14"/>
      <c r="AA12" s="14"/>
      <c r="AD12" s="8">
        <v>1E-4</v>
      </c>
      <c r="AJ12" s="14"/>
      <c r="AK12" s="14"/>
      <c r="AN12" s="14"/>
      <c r="AO12" s="14"/>
      <c r="AQ12" s="14"/>
    </row>
    <row r="13" spans="1:43" ht="14.75" x14ac:dyDescent="0.75">
      <c r="A13">
        <v>22</v>
      </c>
      <c r="D13" s="75">
        <v>1.2245097480152508E-2</v>
      </c>
      <c r="E13" s="26">
        <v>1.1408363229920899</v>
      </c>
      <c r="F13" s="26"/>
      <c r="G13" s="26"/>
      <c r="H13" s="26"/>
      <c r="I13" s="26">
        <v>0.28005585383327813</v>
      </c>
      <c r="J13">
        <v>26.117396132633939</v>
      </c>
      <c r="K13" s="6">
        <v>31.243127265018121</v>
      </c>
      <c r="L13" s="6">
        <v>1.3575543071441933E-2</v>
      </c>
      <c r="M13" s="6">
        <v>7.0756083954664928E-2</v>
      </c>
      <c r="N13" s="6"/>
      <c r="O13" s="30">
        <v>0.38382008272449147</v>
      </c>
      <c r="P13" s="14">
        <f t="shared" si="0"/>
        <v>112.64357677574536</v>
      </c>
      <c r="Q13" s="14"/>
      <c r="R13" s="14">
        <f t="shared" ref="R13:R31" si="6">((1+O13)/O13)*M13</f>
        <v>0.2551030921998122</v>
      </c>
      <c r="S13" s="14"/>
      <c r="T13" s="14"/>
      <c r="U13" s="14">
        <f>R13/E13</f>
        <v>0.22361059782068402</v>
      </c>
      <c r="V13" s="14"/>
      <c r="W13" s="14"/>
      <c r="X13" s="14">
        <v>0.23089739282391766</v>
      </c>
      <c r="Y13" s="14"/>
      <c r="Z13" s="14">
        <f>D13/10</f>
        <v>1.2245097480152508E-3</v>
      </c>
      <c r="AA13" s="14"/>
      <c r="AB13" s="14">
        <v>7.0000000000000007E-2</v>
      </c>
      <c r="AC13" s="14"/>
      <c r="AD13" s="8">
        <v>1E-4</v>
      </c>
      <c r="AE13" s="14"/>
      <c r="AG13" s="8">
        <f>AB13*E13</f>
        <v>7.9858542609446304E-2</v>
      </c>
      <c r="AH13" s="14"/>
      <c r="AI13" s="8">
        <f t="shared" si="1"/>
        <v>2.6117396132633941E-3</v>
      </c>
      <c r="AJ13" s="14"/>
      <c r="AK13" s="14">
        <f>(U13-((1-X13)*AB13))/X13</f>
        <v>0.73527645003695397</v>
      </c>
      <c r="AN13" s="14"/>
      <c r="AO13" s="14">
        <f>(R13-((1-X13)*AG13))/X13</f>
        <v>0.83883008164283579</v>
      </c>
      <c r="AQ13" s="14">
        <f t="shared" si="5"/>
        <v>487.84252910945594</v>
      </c>
    </row>
    <row r="14" spans="1:43" ht="14.75" x14ac:dyDescent="0.75">
      <c r="A14">
        <v>23</v>
      </c>
      <c r="D14" s="75">
        <v>4.8348764396244109E-2</v>
      </c>
      <c r="E14" s="26">
        <v>4.7450592396435241</v>
      </c>
      <c r="F14" s="26"/>
      <c r="G14" s="26"/>
      <c r="H14" s="26"/>
      <c r="I14" s="26">
        <v>0.27315063161967534</v>
      </c>
      <c r="J14">
        <v>26.21682239523777</v>
      </c>
      <c r="K14" s="6">
        <v>7.4630788908867967</v>
      </c>
      <c r="L14" s="6">
        <v>-1.9898695984451372E-2</v>
      </c>
      <c r="M14" s="6">
        <v>0.2239199421899444</v>
      </c>
      <c r="N14" s="6"/>
      <c r="O14" s="30">
        <v>0.44803147887405692</v>
      </c>
      <c r="P14" s="14">
        <f>((1+O14)/O14)*K14</f>
        <v>24.12056668536539</v>
      </c>
      <c r="Q14" s="14"/>
      <c r="R14" s="14">
        <f t="shared" si="6"/>
        <v>0.72370612407313528</v>
      </c>
      <c r="S14" s="14"/>
      <c r="T14" s="14"/>
      <c r="U14" s="14">
        <f t="shared" ref="U14:U17" si="7">R14/E14</f>
        <v>0.15251782696974384</v>
      </c>
      <c r="V14" s="14"/>
      <c r="W14" s="14"/>
      <c r="X14" s="14">
        <v>3.0776941967050313E-2</v>
      </c>
      <c r="Y14" s="14"/>
      <c r="Z14" s="14">
        <f>D14/10</f>
        <v>4.8348764396244108E-3</v>
      </c>
      <c r="AA14" s="14"/>
      <c r="AB14" s="14">
        <v>7.0000000000000007E-2</v>
      </c>
      <c r="AC14" s="14"/>
      <c r="AD14" s="8">
        <v>1E-4</v>
      </c>
      <c r="AE14" s="14"/>
      <c r="AG14" s="8">
        <f>AB14*E14</f>
        <v>0.33215414677504673</v>
      </c>
      <c r="AH14" s="14"/>
      <c r="AI14" s="8">
        <f t="shared" si="1"/>
        <v>2.6216822395237773E-3</v>
      </c>
      <c r="AJ14" s="14"/>
      <c r="AK14" s="14">
        <f>(U14-((1-X14)*AB14))/X14</f>
        <v>2.7511574411157262</v>
      </c>
      <c r="AN14" s="14"/>
      <c r="AO14" s="14">
        <f>(R14-((1-X14)*AG14))/X14</f>
        <v>13.054405035680212</v>
      </c>
      <c r="AQ14" s="14">
        <f t="shared" si="5"/>
        <v>783.63944398077888</v>
      </c>
    </row>
    <row r="15" spans="1:43" ht="14.75" x14ac:dyDescent="0.75">
      <c r="A15">
        <v>24</v>
      </c>
      <c r="D15" s="75">
        <v>0.10556119178705566</v>
      </c>
      <c r="E15" s="26">
        <v>9.8718325987772815</v>
      </c>
      <c r="F15" s="26"/>
      <c r="G15" s="26"/>
      <c r="H15" s="26"/>
      <c r="I15" s="26">
        <v>0.26941633895404393</v>
      </c>
      <c r="J15">
        <v>25.962864557777685</v>
      </c>
      <c r="K15" s="6">
        <v>7.5710325871678448</v>
      </c>
      <c r="L15" s="6">
        <v>-2.0608206613934189E-2</v>
      </c>
      <c r="M15" s="6">
        <v>0.41673485938010646</v>
      </c>
      <c r="N15" s="6"/>
      <c r="O15" s="30">
        <v>0.42694070993564048</v>
      </c>
      <c r="P15" s="14">
        <f t="shared" si="0"/>
        <v>25.304250364196289</v>
      </c>
      <c r="Q15" s="14"/>
      <c r="R15" s="14">
        <f t="shared" si="6"/>
        <v>1.3928302508055985</v>
      </c>
      <c r="S15" s="14"/>
      <c r="T15" s="14"/>
      <c r="U15" s="14">
        <f t="shared" si="7"/>
        <v>0.14109135632811617</v>
      </c>
      <c r="V15" s="14"/>
      <c r="W15" s="14"/>
      <c r="X15" s="14">
        <v>0.16816643922013602</v>
      </c>
      <c r="Y15" s="14"/>
      <c r="Z15" s="14">
        <f>D15/10</f>
        <v>1.0556119178705565E-2</v>
      </c>
      <c r="AA15" s="14"/>
      <c r="AB15" s="14">
        <v>7.0000000000000007E-2</v>
      </c>
      <c r="AC15" s="14"/>
      <c r="AD15" s="8">
        <v>1E-4</v>
      </c>
      <c r="AE15" s="14"/>
      <c r="AG15" s="8">
        <f>AB15*E15</f>
        <v>0.69102828191440979</v>
      </c>
      <c r="AH15" s="14"/>
      <c r="AI15" s="8">
        <f t="shared" si="1"/>
        <v>2.5962864557777686E-3</v>
      </c>
      <c r="AJ15" s="14"/>
      <c r="AK15" s="14">
        <f>(U15-((1-X15)*AB15))/X15</f>
        <v>0.49274401871026713</v>
      </c>
      <c r="AN15" s="14"/>
      <c r="AO15" s="14">
        <f t="shared" ref="AO6:AO39" si="8">(R15-((1-X15)*AG15))/X15</f>
        <v>4.8642864667565364</v>
      </c>
      <c r="AQ15" s="14">
        <f t="shared" si="5"/>
        <v>150.45862184705959</v>
      </c>
    </row>
    <row r="16" spans="1:43" ht="14.75" x14ac:dyDescent="0.75">
      <c r="A16">
        <v>25</v>
      </c>
      <c r="D16" s="75">
        <v>0.14012657117852789</v>
      </c>
      <c r="E16" s="26">
        <v>13.004782202109256</v>
      </c>
      <c r="F16" s="26"/>
      <c r="G16" s="26"/>
      <c r="H16" s="26"/>
      <c r="I16" s="26">
        <v>0.2737300908264112</v>
      </c>
      <c r="J16">
        <v>25.607338688405896</v>
      </c>
      <c r="K16" s="6">
        <v>12.33271011642068</v>
      </c>
      <c r="L16" s="6">
        <v>-7.6423896315596825E-3</v>
      </c>
      <c r="M16" s="6">
        <v>0.54505503412794609</v>
      </c>
      <c r="N16" s="6"/>
      <c r="O16" s="30">
        <v>0.40154516818140812</v>
      </c>
      <c r="P16" s="14">
        <f t="shared" si="0"/>
        <v>43.045843018194432</v>
      </c>
      <c r="Q16" s="14"/>
      <c r="R16" s="14">
        <f t="shared" si="6"/>
        <v>1.9024491140928277</v>
      </c>
      <c r="S16" s="14"/>
      <c r="T16" s="14"/>
      <c r="U16" s="14">
        <f t="shared" si="7"/>
        <v>0.14628842563655298</v>
      </c>
      <c r="V16" s="14"/>
      <c r="W16" s="14"/>
      <c r="X16" s="14">
        <v>8.6477606184191508E-2</v>
      </c>
      <c r="Y16" s="14"/>
      <c r="Z16" s="14">
        <f>D16/10</f>
        <v>1.401265711785279E-2</v>
      </c>
      <c r="AA16" s="14"/>
      <c r="AB16" s="14">
        <v>7.0000000000000007E-2</v>
      </c>
      <c r="AC16" s="14"/>
      <c r="AD16" s="8">
        <v>1E-4</v>
      </c>
      <c r="AE16" s="14"/>
      <c r="AG16" s="8">
        <f>AB16*E16</f>
        <v>0.91033475414764797</v>
      </c>
      <c r="AH16" s="14"/>
      <c r="AI16" s="8">
        <f t="shared" si="1"/>
        <v>2.5607338688405897E-3</v>
      </c>
      <c r="AJ16" s="14"/>
      <c r="AK16" s="14">
        <f>(U16-((1-X16)*AB16))/X16</f>
        <v>0.95217550187575428</v>
      </c>
      <c r="AN16" s="14"/>
      <c r="AO16" s="14">
        <f t="shared" si="8"/>
        <v>12.382835020078257</v>
      </c>
      <c r="AQ16" s="14">
        <f t="shared" si="5"/>
        <v>497.74161924395622</v>
      </c>
    </row>
    <row r="17" spans="1:43" ht="15.5" thickBot="1" x14ac:dyDescent="0.9">
      <c r="A17">
        <v>26</v>
      </c>
      <c r="D17" s="76">
        <v>0.19302453265878808</v>
      </c>
      <c r="E17" s="26">
        <v>18.321355788374831</v>
      </c>
      <c r="F17" s="26"/>
      <c r="G17" s="26"/>
      <c r="H17" s="26"/>
      <c r="I17" s="26">
        <v>0.26713069430525227</v>
      </c>
      <c r="J17">
        <v>26.485877371472938</v>
      </c>
      <c r="K17" s="6">
        <v>8.3644039563163108</v>
      </c>
      <c r="L17" s="6">
        <v>-2.2291885649828678E-2</v>
      </c>
      <c r="M17" s="6">
        <v>0.8089110758572513</v>
      </c>
      <c r="N17" s="6"/>
      <c r="O17" s="30">
        <v>0.45615038690026372</v>
      </c>
      <c r="P17" s="14">
        <f t="shared" si="0"/>
        <v>26.701347640955053</v>
      </c>
      <c r="Q17" s="14"/>
      <c r="R17" s="14">
        <f>((1+O17)/O17)*M17</f>
        <v>2.5822540326705661</v>
      </c>
      <c r="S17" s="14"/>
      <c r="T17" s="14"/>
      <c r="U17" s="14">
        <f t="shared" si="7"/>
        <v>0.14094230047696821</v>
      </c>
      <c r="V17" s="14"/>
      <c r="W17" s="14"/>
      <c r="X17" s="14">
        <v>2.5177994083936027E-2</v>
      </c>
      <c r="Y17" s="14"/>
      <c r="Z17" s="14">
        <f>D17/10</f>
        <v>1.9302453265878809E-2</v>
      </c>
      <c r="AA17" s="14"/>
      <c r="AB17" s="14">
        <v>7.0000000000000007E-2</v>
      </c>
      <c r="AC17" s="14"/>
      <c r="AD17" s="8">
        <v>1E-4</v>
      </c>
      <c r="AE17" s="14"/>
      <c r="AG17" s="8">
        <f>AB17*E17</f>
        <v>1.2824949051862382</v>
      </c>
      <c r="AH17" s="14"/>
      <c r="AI17" s="8">
        <f t="shared" si="1"/>
        <v>2.6485877371472942E-3</v>
      </c>
      <c r="AJ17" s="14"/>
      <c r="AK17" s="14">
        <f>(U17-((1-X17)*AB17))/X17</f>
        <v>2.8876311520475952</v>
      </c>
      <c r="AN17" s="14"/>
      <c r="AO17" s="14">
        <f t="shared" si="8"/>
        <v>52.905317722258694</v>
      </c>
      <c r="AQ17" s="14">
        <f t="shared" si="5"/>
        <v>1060.4008266241722</v>
      </c>
    </row>
    <row r="18" spans="1:43" ht="15.5" thickTop="1" x14ac:dyDescent="0.75">
      <c r="A18"/>
      <c r="B18" s="13"/>
      <c r="C18" s="26"/>
      <c r="D18" s="13"/>
      <c r="F18"/>
      <c r="G18" t="s">
        <v>66</v>
      </c>
      <c r="H18"/>
      <c r="I18" s="32">
        <f>AVERAGE(I13:I17)</f>
        <v>0.2726967219077322</v>
      </c>
      <c r="J18" s="32"/>
      <c r="K18" s="6"/>
      <c r="L18" s="6"/>
      <c r="M18" s="6"/>
      <c r="N18" s="6"/>
      <c r="O18" s="29"/>
      <c r="P18" s="14"/>
      <c r="Q18" s="14"/>
      <c r="R18" s="14"/>
      <c r="S18" s="14"/>
      <c r="T18" s="14"/>
      <c r="X18" s="14"/>
      <c r="Y18" s="14"/>
      <c r="Z18" s="14"/>
      <c r="AA18" s="14"/>
      <c r="AD18" s="8">
        <v>1E-4</v>
      </c>
      <c r="AJ18" s="14"/>
      <c r="AK18" s="14"/>
      <c r="AN18" s="14"/>
      <c r="AO18" s="14"/>
      <c r="AQ18" s="14"/>
    </row>
    <row r="19" spans="1:43" ht="14.75" x14ac:dyDescent="0.75">
      <c r="A19"/>
      <c r="B19" s="13"/>
      <c r="C19" s="26"/>
      <c r="D19" s="13"/>
      <c r="F19"/>
      <c r="G19"/>
      <c r="H19"/>
      <c r="I19" s="35"/>
      <c r="J19" s="35"/>
      <c r="K19" s="6"/>
      <c r="L19" s="6"/>
      <c r="M19" s="6"/>
      <c r="N19" s="6"/>
      <c r="O19" s="29"/>
      <c r="P19" s="14"/>
      <c r="Q19" s="14"/>
      <c r="R19" s="14"/>
      <c r="S19" s="14"/>
      <c r="T19" s="14"/>
      <c r="X19" s="14"/>
      <c r="Y19" s="14"/>
      <c r="Z19" s="14"/>
      <c r="AA19" s="14"/>
      <c r="AD19" s="8">
        <v>1E-4</v>
      </c>
      <c r="AJ19" s="14"/>
      <c r="AK19" s="14"/>
      <c r="AN19" s="14"/>
      <c r="AO19" s="14"/>
      <c r="AQ19" s="14"/>
    </row>
    <row r="20" spans="1:43" ht="14.75" x14ac:dyDescent="0.75">
      <c r="A20">
        <v>43</v>
      </c>
      <c r="D20" s="20"/>
      <c r="E20" s="13"/>
      <c r="F20" s="75">
        <v>0.12526293518674403</v>
      </c>
      <c r="G20" s="26">
        <v>11.863228239890049</v>
      </c>
      <c r="H20" s="26">
        <f>F20/0.005</f>
        <v>25.052587037348804</v>
      </c>
      <c r="I20" s="26">
        <v>0.28877993411246872</v>
      </c>
      <c r="J20">
        <v>27.744190435274472</v>
      </c>
      <c r="K20" s="23">
        <v>35.600269448029344</v>
      </c>
      <c r="L20" s="18"/>
      <c r="M20" s="18"/>
      <c r="N20" s="18">
        <v>9.1263054857405615E-2</v>
      </c>
      <c r="O20" s="28">
        <v>0.30552527852801198</v>
      </c>
      <c r="P20" s="14">
        <f t="shared" si="0"/>
        <v>152.12178812415209</v>
      </c>
      <c r="Q20" s="14"/>
      <c r="R20" s="14"/>
      <c r="S20" s="14">
        <f>((1+O20)/O20)*N20</f>
        <v>0.38997174206358781</v>
      </c>
      <c r="U20" s="14"/>
      <c r="V20" s="14">
        <f>S20/G20</f>
        <v>3.287231217151413E-2</v>
      </c>
      <c r="W20" s="14">
        <f>S20/H20</f>
        <v>1.5566126623258972E-2</v>
      </c>
      <c r="X20" s="14">
        <v>0.45988800728258</v>
      </c>
      <c r="Y20" s="14"/>
      <c r="Z20" s="14"/>
      <c r="AB20" s="14"/>
      <c r="AC20" s="74">
        <v>1E-3</v>
      </c>
      <c r="AD20" s="8">
        <v>1E-4</v>
      </c>
      <c r="AE20" s="74">
        <v>5.3545575322477964E-4</v>
      </c>
      <c r="AH20" s="8">
        <f>AC20*G20</f>
        <v>1.1863228239890049E-2</v>
      </c>
      <c r="AI20" s="8">
        <f t="shared" si="1"/>
        <v>2.7744190435274475E-3</v>
      </c>
      <c r="AJ20" s="14"/>
      <c r="AK20" s="14"/>
      <c r="AL20" s="14">
        <f>(V20-((1-X20)*AC20))/X20</f>
        <v>7.0304508199384427E-2</v>
      </c>
      <c r="AM20" s="14">
        <f>(W20-((1-X20)*AE20))/X20</f>
        <v>3.3218784372399966E-2</v>
      </c>
      <c r="AN20" s="14"/>
      <c r="AO20" s="14"/>
      <c r="AP20" s="14">
        <f>(S20-((1-X20)*AH20))/X20</f>
        <v>0.83403842706251885</v>
      </c>
      <c r="AQ20" s="14">
        <f t="shared" si="5"/>
        <v>330.77681352469568</v>
      </c>
    </row>
    <row r="21" spans="1:43" ht="14.75" x14ac:dyDescent="0.75">
      <c r="A21">
        <v>44</v>
      </c>
      <c r="D21" s="20"/>
      <c r="E21" s="13"/>
      <c r="F21" s="75">
        <v>0.21901234063980701</v>
      </c>
      <c r="G21" s="26">
        <v>22.549547912188221</v>
      </c>
      <c r="H21" s="26">
        <f t="shared" ref="H21:H24" si="9">F21/0.005</f>
        <v>43.802468127961404</v>
      </c>
      <c r="I21" s="26">
        <v>0.28140792531566194</v>
      </c>
      <c r="J21">
        <v>28.710304226907397</v>
      </c>
      <c r="K21" s="23">
        <v>38.054664864009233</v>
      </c>
      <c r="L21" s="18"/>
      <c r="M21" s="18"/>
      <c r="N21" s="18">
        <v>0.18798374709916407</v>
      </c>
      <c r="O21" s="28">
        <v>0.31495822484606345</v>
      </c>
      <c r="P21" s="14">
        <f t="shared" si="0"/>
        <v>158.87914843673872</v>
      </c>
      <c r="Q21" s="14"/>
      <c r="R21" s="14"/>
      <c r="S21" s="14">
        <f t="shared" ref="S21:S24" si="10">((1+O21)/O21)*N21</f>
        <v>0.78483670177606302</v>
      </c>
      <c r="U21" s="14"/>
      <c r="V21" s="14">
        <f t="shared" ref="V21:V24" si="11">S21/G21</f>
        <v>3.4804986105812445E-2</v>
      </c>
      <c r="W21" s="14">
        <f t="shared" ref="W21:W24" si="12">S21/H21</f>
        <v>1.7917636501287942E-2</v>
      </c>
      <c r="X21" s="14">
        <v>0.47005885115063373</v>
      </c>
      <c r="Y21" s="14"/>
      <c r="Z21" s="14"/>
      <c r="AB21" s="14"/>
      <c r="AC21" s="74">
        <v>1E-3</v>
      </c>
      <c r="AD21" s="8">
        <v>1E-4</v>
      </c>
      <c r="AE21" s="74">
        <v>5.3545575322477964E-4</v>
      </c>
      <c r="AH21" s="8">
        <f t="shared" ref="AH21:AH24" si="13">AC21*G21</f>
        <v>2.254954791218822E-2</v>
      </c>
      <c r="AI21" s="8">
        <f t="shared" si="1"/>
        <v>2.8710304226907397E-3</v>
      </c>
      <c r="AJ21" s="14"/>
      <c r="AK21" s="14"/>
      <c r="AL21" s="14">
        <f>(V21-((1-X21)*AC21))/X21</f>
        <v>7.2916497313183004E-2</v>
      </c>
      <c r="AM21" s="14">
        <f>(W21-((1-X21)*AE21))/X21</f>
        <v>3.7514188747006696E-2</v>
      </c>
      <c r="AN21" s="14"/>
      <c r="AO21" s="14"/>
      <c r="AP21" s="14">
        <f>(S21-((1-X21)*AH21))/X21</f>
        <v>1.644234049752564</v>
      </c>
      <c r="AQ21" s="14">
        <f t="shared" si="5"/>
        <v>337.99518203022762</v>
      </c>
    </row>
    <row r="22" spans="1:43" ht="14.75" x14ac:dyDescent="0.75">
      <c r="A22">
        <v>45</v>
      </c>
      <c r="D22" s="20"/>
      <c r="E22" s="13"/>
      <c r="F22" s="75">
        <v>0.30825608774352531</v>
      </c>
      <c r="G22" s="26">
        <v>31.190351660443088</v>
      </c>
      <c r="H22" s="26">
        <f t="shared" si="9"/>
        <v>61.651217548705063</v>
      </c>
      <c r="I22" s="26">
        <v>0.26680877252373236</v>
      </c>
      <c r="J22">
        <v>27.4558583366051</v>
      </c>
      <c r="K22" s="23">
        <v>19.742764229175506</v>
      </c>
      <c r="L22" s="18"/>
      <c r="M22" s="18"/>
      <c r="N22" s="18">
        <v>0.19293253900475676</v>
      </c>
      <c r="O22" s="28">
        <v>0.31656568356383996</v>
      </c>
      <c r="P22" s="14">
        <f t="shared" si="0"/>
        <v>82.108223450513051</v>
      </c>
      <c r="Q22" s="14"/>
      <c r="R22" s="14"/>
      <c r="S22" s="14">
        <f t="shared" si="10"/>
        <v>0.80238754004200341</v>
      </c>
      <c r="U22" s="14"/>
      <c r="V22" s="14">
        <f t="shared" si="11"/>
        <v>2.5725504757922461E-2</v>
      </c>
      <c r="W22" s="14">
        <f t="shared" si="12"/>
        <v>1.3014950425076511E-2</v>
      </c>
      <c r="X22" s="14">
        <v>0.46806277225649662</v>
      </c>
      <c r="Y22" s="14"/>
      <c r="Z22" s="14"/>
      <c r="AB22" s="14"/>
      <c r="AC22" s="74">
        <v>1E-3</v>
      </c>
      <c r="AD22" s="8">
        <v>1E-4</v>
      </c>
      <c r="AE22" s="74">
        <v>5.3545575322477964E-4</v>
      </c>
      <c r="AH22" s="8">
        <f t="shared" si="13"/>
        <v>3.1190351660443091E-2</v>
      </c>
      <c r="AI22" s="8">
        <f t="shared" si="1"/>
        <v>2.74558583366051E-3</v>
      </c>
      <c r="AJ22" s="14"/>
      <c r="AK22" s="14"/>
      <c r="AL22" s="14">
        <f>(V22-((1-X22)*AC22))/X22</f>
        <v>5.3825189746927744E-2</v>
      </c>
      <c r="AM22" s="14">
        <f>(W22-((1-X22)*AE22))/X22</f>
        <v>2.7197466516629427E-2</v>
      </c>
      <c r="AN22" s="14"/>
      <c r="AO22" s="14"/>
      <c r="AP22" s="14">
        <f>(S22-((1-X22)*AH22))/X22</f>
        <v>1.6788265963967521</v>
      </c>
      <c r="AQ22" s="14">
        <f t="shared" si="5"/>
        <v>175.41827258631449</v>
      </c>
    </row>
    <row r="23" spans="1:43" ht="14.75" x14ac:dyDescent="0.75">
      <c r="A23">
        <v>46</v>
      </c>
      <c r="D23" s="20"/>
      <c r="E23" s="13"/>
      <c r="F23" s="75">
        <v>0.39559219016899755</v>
      </c>
      <c r="G23" s="26">
        <v>43.762149581297876</v>
      </c>
      <c r="H23" s="26">
        <f t="shared" si="9"/>
        <v>79.118438033799507</v>
      </c>
      <c r="I23" s="26">
        <v>0.2588251123420377</v>
      </c>
      <c r="J23">
        <v>28.318984185068789</v>
      </c>
      <c r="K23" s="23">
        <v>37.92745690238624</v>
      </c>
      <c r="L23" s="18"/>
      <c r="M23" s="18"/>
      <c r="N23" s="18">
        <v>0.32014356291726248</v>
      </c>
      <c r="O23" s="28">
        <v>0.30737448731443928</v>
      </c>
      <c r="P23" s="14">
        <f t="shared" si="0"/>
        <v>161.31914511230278</v>
      </c>
      <c r="Q23" s="14"/>
      <c r="R23" s="14"/>
      <c r="S23" s="14">
        <f t="shared" si="10"/>
        <v>1.361685968451267</v>
      </c>
      <c r="U23" s="14"/>
      <c r="V23" s="14">
        <f t="shared" si="11"/>
        <v>3.1115609755906392E-2</v>
      </c>
      <c r="W23" s="14">
        <f t="shared" si="12"/>
        <v>1.7210728653029687E-2</v>
      </c>
      <c r="X23" s="14">
        <v>0.37953792959405647</v>
      </c>
      <c r="Y23" s="14"/>
      <c r="Z23" s="14"/>
      <c r="AB23" s="14"/>
      <c r="AC23" s="74">
        <v>1E-3</v>
      </c>
      <c r="AD23" s="8">
        <v>1E-4</v>
      </c>
      <c r="AE23" s="74">
        <v>5.3545575322477964E-4</v>
      </c>
      <c r="AH23" s="8">
        <f t="shared" si="13"/>
        <v>4.3762149581297878E-2</v>
      </c>
      <c r="AI23" s="8">
        <f t="shared" si="1"/>
        <v>2.8318984185068791E-3</v>
      </c>
      <c r="AJ23" s="14"/>
      <c r="AK23" s="14"/>
      <c r="AL23" s="14">
        <f>(V23-((1-X23)*AC23))/X23</f>
        <v>8.0348089894776098E-2</v>
      </c>
      <c r="AM23" s="14">
        <f>(W23-((1-X23)*AE23))/X23</f>
        <v>4.4471177586455864E-2</v>
      </c>
      <c r="AN23" s="14"/>
      <c r="AO23" s="14"/>
      <c r="AP23" s="14">
        <f>(S23-((1-X23)*AH23))/X23</f>
        <v>3.5162051285467597</v>
      </c>
      <c r="AQ23" s="14">
        <f t="shared" si="5"/>
        <v>425.03627555561462</v>
      </c>
    </row>
    <row r="24" spans="1:43" ht="14.75" x14ac:dyDescent="0.75">
      <c r="A24">
        <v>47</v>
      </c>
      <c r="D24" s="20"/>
      <c r="E24" s="13"/>
      <c r="F24" s="75">
        <v>0.51490747561384942</v>
      </c>
      <c r="G24" s="26">
        <v>54.289386276140554</v>
      </c>
      <c r="H24" s="26">
        <f t="shared" si="9"/>
        <v>102.98149512276989</v>
      </c>
      <c r="I24" s="26">
        <v>0.27104204395071968</v>
      </c>
      <c r="J24">
        <v>28.083524687300518</v>
      </c>
      <c r="K24" s="23">
        <v>36.451756603104855</v>
      </c>
      <c r="L24" s="18"/>
      <c r="M24" s="18"/>
      <c r="N24" s="18">
        <v>0.4025772452754115</v>
      </c>
      <c r="O24" s="28">
        <v>0.32101458849467213</v>
      </c>
      <c r="P24" s="14">
        <f t="shared" si="0"/>
        <v>150.0034701686391</v>
      </c>
      <c r="Q24" s="14"/>
      <c r="R24" s="14"/>
      <c r="S24" s="14">
        <f t="shared" si="10"/>
        <v>1.6566549716591552</v>
      </c>
      <c r="U24" s="14"/>
      <c r="V24" s="14">
        <f t="shared" si="11"/>
        <v>3.0515264313960986E-2</v>
      </c>
      <c r="W24" s="14">
        <f t="shared" si="12"/>
        <v>1.6086919010878276E-2</v>
      </c>
      <c r="X24" s="14">
        <v>0.55632901068938134</v>
      </c>
      <c r="Y24" s="14"/>
      <c r="Z24" s="14"/>
      <c r="AB24" s="14"/>
      <c r="AC24" s="74">
        <v>1E-3</v>
      </c>
      <c r="AD24" s="8">
        <v>1E-4</v>
      </c>
      <c r="AE24" s="74">
        <v>5.3545575322477964E-4</v>
      </c>
      <c r="AH24" s="8">
        <f t="shared" si="13"/>
        <v>5.4289386276140557E-2</v>
      </c>
      <c r="AI24" s="8">
        <f t="shared" si="1"/>
        <v>2.8083524687300518E-3</v>
      </c>
      <c r="AJ24" s="14"/>
      <c r="AK24" s="14"/>
      <c r="AL24" s="14">
        <f>(V24-((1-X24)*AC24))/X24</f>
        <v>5.4053613503611493E-2</v>
      </c>
      <c r="AM24" s="14">
        <f>(W24-((1-X24)*AE24))/X24</f>
        <v>2.8489171915505668E-2</v>
      </c>
      <c r="AN24" s="14"/>
      <c r="AO24" s="14"/>
      <c r="AP24" s="14">
        <f>(S24-((1-X24)*AH24))/X24</f>
        <v>2.9345375031187717</v>
      </c>
      <c r="AQ24" s="14">
        <f t="shared" si="5"/>
        <v>269.62862137684323</v>
      </c>
    </row>
    <row r="25" spans="1:43" ht="14.75" x14ac:dyDescent="0.75">
      <c r="A25"/>
      <c r="B25" s="13"/>
      <c r="C25" s="26"/>
      <c r="D25" s="13"/>
      <c r="F25"/>
      <c r="G25" t="s">
        <v>66</v>
      </c>
      <c r="H25"/>
      <c r="I25" s="32">
        <f>AVERAGE(I20:I24)</f>
        <v>0.2733727576489241</v>
      </c>
      <c r="J25" s="32"/>
      <c r="K25" s="6"/>
      <c r="L25" s="6"/>
      <c r="M25" s="6"/>
      <c r="N25" s="6"/>
      <c r="O25" s="29"/>
      <c r="P25" s="14"/>
      <c r="Q25" s="14"/>
      <c r="R25" s="14"/>
      <c r="S25" s="14"/>
      <c r="T25" s="14"/>
      <c r="X25" s="14"/>
      <c r="Y25" s="14"/>
      <c r="Z25" s="14"/>
      <c r="AA25" s="14"/>
      <c r="AD25" s="8">
        <v>1E-4</v>
      </c>
      <c r="AJ25" s="14"/>
      <c r="AK25" s="14"/>
      <c r="AN25" s="14"/>
      <c r="AO25" s="14"/>
      <c r="AQ25" s="14"/>
    </row>
    <row r="26" spans="1:43" x14ac:dyDescent="0.6">
      <c r="I26" s="26"/>
      <c r="J26" s="26"/>
      <c r="K26" s="16"/>
      <c r="L26" s="16"/>
      <c r="M26" s="16"/>
      <c r="N26" s="16"/>
      <c r="O26" s="30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8">
        <v>1E-4</v>
      </c>
      <c r="AE26" s="14"/>
      <c r="AH26" s="14"/>
      <c r="AJ26" s="14"/>
      <c r="AK26" s="14"/>
      <c r="AN26" s="14"/>
      <c r="AO26" s="14"/>
      <c r="AQ26" s="14"/>
    </row>
    <row r="27" spans="1:43" ht="14.75" x14ac:dyDescent="0.75">
      <c r="A27">
        <v>28</v>
      </c>
      <c r="I27" s="26"/>
      <c r="J27" s="26"/>
      <c r="K27" s="6">
        <v>45.641021875737358</v>
      </c>
      <c r="L27" s="6">
        <v>-7.4554970514626676E-3</v>
      </c>
      <c r="M27" s="6">
        <v>6.2859030289611872E-2</v>
      </c>
      <c r="N27" s="6"/>
      <c r="O27" s="30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8">
        <v>1E-4</v>
      </c>
      <c r="AE27" s="14"/>
      <c r="AH27" s="14"/>
      <c r="AJ27" s="14"/>
      <c r="AK27" s="14"/>
      <c r="AN27" s="14"/>
      <c r="AO27" s="14"/>
      <c r="AQ27" s="14"/>
    </row>
    <row r="28" spans="1:43" ht="14.75" x14ac:dyDescent="0.75">
      <c r="A28">
        <v>30</v>
      </c>
      <c r="B28" s="75">
        <v>1.9903451795608667</v>
      </c>
      <c r="C28" s="26">
        <v>199.93485596133593</v>
      </c>
      <c r="D28" s="75">
        <v>4.6489160633377283E-2</v>
      </c>
      <c r="E28" s="26">
        <v>4.6699455604220486</v>
      </c>
      <c r="F28" s="26"/>
      <c r="G28" s="26"/>
      <c r="H28" s="26"/>
      <c r="I28" s="26">
        <v>0.27044648865490772</v>
      </c>
      <c r="J28">
        <v>26.630178577791579</v>
      </c>
      <c r="K28" s="6">
        <v>33.967083926725209</v>
      </c>
      <c r="L28" s="6">
        <v>2.0213562298441934</v>
      </c>
      <c r="M28" s="6">
        <v>0.18007135793173878</v>
      </c>
      <c r="N28" s="6"/>
      <c r="O28" s="30">
        <v>0.20936950977463442</v>
      </c>
      <c r="P28" s="14">
        <f t="shared" si="0"/>
        <v>196.20218665628414</v>
      </c>
      <c r="Q28" s="14">
        <f>((1+O28)/O28)*L28</f>
        <v>11.67584809936227</v>
      </c>
      <c r="R28" s="14">
        <f t="shared" si="6"/>
        <v>1.0401362170679511</v>
      </c>
      <c r="S28" s="14"/>
      <c r="T28" s="14">
        <f>Q28/C28</f>
        <v>5.8398261989996307E-2</v>
      </c>
      <c r="U28" s="14">
        <f>R28/E28</f>
        <v>0.2227298377700892</v>
      </c>
      <c r="V28" s="14"/>
      <c r="W28" s="14"/>
      <c r="X28" s="14">
        <v>-2.0244789650539465E-2</v>
      </c>
      <c r="Y28" s="14">
        <f>B28/10</f>
        <v>0.19903451795608668</v>
      </c>
      <c r="Z28" s="14">
        <f>0.146+1.833*(L28/10)</f>
        <v>0.51651459693044066</v>
      </c>
      <c r="AA28" s="14">
        <v>1.4E-2</v>
      </c>
      <c r="AB28" s="14">
        <v>7.0000000000000007E-2</v>
      </c>
      <c r="AC28" s="14"/>
      <c r="AD28" s="8">
        <v>1E-4</v>
      </c>
      <c r="AE28" s="14"/>
      <c r="AF28" s="8">
        <f>AA28*C28</f>
        <v>2.799087983458703</v>
      </c>
      <c r="AG28" s="8">
        <f>AB28*E28</f>
        <v>0.32689618922954344</v>
      </c>
      <c r="AH28" s="14"/>
      <c r="AI28" s="8">
        <f t="shared" si="1"/>
        <v>2.6630178577791582E-3</v>
      </c>
      <c r="AJ28" s="14">
        <f>(T28-((1-X28)*AA28))/X28</f>
        <v>-2.179071044766979</v>
      </c>
      <c r="AK28" s="14">
        <f>(U28-((1-X28)*AB28))/X28</f>
        <v>-7.4741553311480997</v>
      </c>
      <c r="AN28" s="14">
        <f t="shared" si="4"/>
        <v>-435.67225546500367</v>
      </c>
      <c r="AO28" s="14">
        <f t="shared" si="8"/>
        <v>-34.903898506599852</v>
      </c>
      <c r="AQ28" s="14">
        <f>(P28-((1-X28)*AI28))/X28</f>
        <v>-9691.356300210402</v>
      </c>
    </row>
    <row r="29" spans="1:43" ht="14.75" x14ac:dyDescent="0.75">
      <c r="A29">
        <v>31</v>
      </c>
      <c r="B29" s="75">
        <v>1.9207163273320425</v>
      </c>
      <c r="C29" s="26">
        <v>199.80744534177649</v>
      </c>
      <c r="D29" s="75">
        <v>8.715506897720024E-2</v>
      </c>
      <c r="E29" s="26">
        <v>9.0665297280571426</v>
      </c>
      <c r="F29" s="26"/>
      <c r="G29" s="26"/>
      <c r="H29" s="26"/>
      <c r="I29" s="26">
        <v>0.26288132678918902</v>
      </c>
      <c r="J29">
        <v>26.888108955399613</v>
      </c>
      <c r="K29" s="6">
        <v>34.548769022764176</v>
      </c>
      <c r="L29" s="6">
        <v>2.1831990941515471</v>
      </c>
      <c r="M29" s="6">
        <v>0.35149490937216704</v>
      </c>
      <c r="N29" s="6"/>
      <c r="O29" s="30">
        <v>0.34009149535644179</v>
      </c>
      <c r="P29" s="14">
        <f t="shared" si="0"/>
        <v>136.13545817697087</v>
      </c>
      <c r="Q29" s="14">
        <f t="shared" ref="Q29:Q31" si="14">((1+O29)/O29)*L29</f>
        <v>8.6026454018676173</v>
      </c>
      <c r="R29" s="14">
        <f t="shared" si="6"/>
        <v>1.3850253391871603</v>
      </c>
      <c r="S29" s="14"/>
      <c r="T29" s="14">
        <f t="shared" ref="T29:T39" si="15">Q29/C29</f>
        <v>4.3054678904244734E-2</v>
      </c>
      <c r="U29" s="14">
        <f t="shared" ref="U29:U39" si="16">R29/E29</f>
        <v>0.15276245495573487</v>
      </c>
      <c r="V29" s="14"/>
      <c r="W29" s="14"/>
      <c r="X29" s="14">
        <v>0.43303855126991109</v>
      </c>
      <c r="Y29" s="14">
        <f>B29/10</f>
        <v>0.19207163273320424</v>
      </c>
      <c r="Z29" s="14">
        <f>0.146+1.833*(L29/10)</f>
        <v>0.54618039395797857</v>
      </c>
      <c r="AA29" s="14">
        <v>1.4E-2</v>
      </c>
      <c r="AB29" s="14">
        <v>7.0000000000000007E-2</v>
      </c>
      <c r="AC29" s="14"/>
      <c r="AD29" s="8">
        <v>1E-4</v>
      </c>
      <c r="AE29" s="14"/>
      <c r="AF29" s="8">
        <f>AA29*C29</f>
        <v>2.7973042347848707</v>
      </c>
      <c r="AG29" s="8">
        <f>AB29*E29</f>
        <v>0.63465708096400009</v>
      </c>
      <c r="AH29" s="14"/>
      <c r="AI29" s="8">
        <f t="shared" si="1"/>
        <v>2.6888108955399614E-3</v>
      </c>
      <c r="AJ29" s="14">
        <f>(T29-((1-X29)*AA29))/X29</f>
        <v>8.1094901410140446E-2</v>
      </c>
      <c r="AK29" s="14">
        <f>(U29-((1-X29)*AB29))/X29</f>
        <v>0.26112029336193993</v>
      </c>
      <c r="AN29" s="14">
        <f t="shared" si="4"/>
        <v>16.203365081003394</v>
      </c>
      <c r="AO29" s="14">
        <f t="shared" si="8"/>
        <v>2.3674549023650302</v>
      </c>
      <c r="AQ29" s="14">
        <f t="shared" si="5"/>
        <v>314.36908636801365</v>
      </c>
    </row>
    <row r="30" spans="1:43" ht="14.75" x14ac:dyDescent="0.75">
      <c r="A30">
        <v>32</v>
      </c>
      <c r="B30" s="75">
        <v>10.145649814944786</v>
      </c>
      <c r="C30" s="26">
        <v>982.36354998347326</v>
      </c>
      <c r="D30" s="75">
        <v>4.8386220906334869E-2</v>
      </c>
      <c r="E30" s="26">
        <v>4.685048331730771</v>
      </c>
      <c r="F30" s="26"/>
      <c r="G30" s="26"/>
      <c r="H30" s="26"/>
      <c r="I30" s="26">
        <v>0.25544493363607823</v>
      </c>
      <c r="J30">
        <v>25.706250105352289</v>
      </c>
      <c r="K30" s="6">
        <v>29.240018062905705</v>
      </c>
      <c r="L30" s="6">
        <v>7.2817481982351486</v>
      </c>
      <c r="M30" s="6">
        <v>0.18034458369312856</v>
      </c>
      <c r="N30" s="6"/>
      <c r="O30" s="30">
        <v>0.26302432041802026</v>
      </c>
      <c r="P30" s="14">
        <f t="shared" si="0"/>
        <v>140.40851387513715</v>
      </c>
      <c r="Q30" s="14">
        <f t="shared" si="14"/>
        <v>34.966443615991139</v>
      </c>
      <c r="R30" s="14">
        <f t="shared" si="6"/>
        <v>0.86600202938678095</v>
      </c>
      <c r="S30" s="14"/>
      <c r="T30" s="14">
        <f t="shared" si="15"/>
        <v>3.5594198926231939E-2</v>
      </c>
      <c r="U30" s="14">
        <f t="shared" si="16"/>
        <v>0.1848437770687541</v>
      </c>
      <c r="V30" s="14"/>
      <c r="W30" s="14"/>
      <c r="X30" s="14">
        <v>0.57264952946123904</v>
      </c>
      <c r="Y30" s="14">
        <f>B30/10</f>
        <v>1.0145649814944786</v>
      </c>
      <c r="Z30" s="14">
        <f>0.146+1.833*(L30/10)</f>
        <v>1.4807444447365026</v>
      </c>
      <c r="AA30" s="14">
        <v>1.4E-2</v>
      </c>
      <c r="AB30" s="14">
        <v>7.0000000000000007E-2</v>
      </c>
      <c r="AC30" s="14"/>
      <c r="AD30" s="8">
        <v>1E-4</v>
      </c>
      <c r="AE30" s="14"/>
      <c r="AF30" s="8">
        <f>AA30*C30</f>
        <v>13.753089699768626</v>
      </c>
      <c r="AG30" s="8">
        <f>AB30*E30</f>
        <v>0.32795338322115397</v>
      </c>
      <c r="AH30" s="14"/>
      <c r="AI30" s="8">
        <f t="shared" si="1"/>
        <v>2.5706250105352289E-3</v>
      </c>
      <c r="AJ30" s="14">
        <f>(T30-((1-X30)*AA30))/X30</f>
        <v>5.1709275595752648E-2</v>
      </c>
      <c r="AK30" s="14">
        <f>(U30-((1-X30)*AB30))/X30</f>
        <v>0.27054810343911678</v>
      </c>
      <c r="AN30" s="14">
        <f t="shared" si="4"/>
        <v>50.797307541317352</v>
      </c>
      <c r="AO30" s="14">
        <f t="shared" si="8"/>
        <v>1.2675309406703581</v>
      </c>
      <c r="AQ30" s="14">
        <f t="shared" si="5"/>
        <v>245.18908703099368</v>
      </c>
    </row>
    <row r="31" spans="1:43" ht="14.75" x14ac:dyDescent="0.75">
      <c r="A31">
        <v>33</v>
      </c>
      <c r="B31" s="75">
        <v>9.9323233923491507</v>
      </c>
      <c r="C31" s="26">
        <v>970.50358727628054</v>
      </c>
      <c r="D31" s="75">
        <v>9.0812354268523868E-2</v>
      </c>
      <c r="E31" s="26">
        <v>8.8734238813142241</v>
      </c>
      <c r="F31" s="26"/>
      <c r="G31" s="26"/>
      <c r="H31" s="26"/>
      <c r="I31" s="26">
        <v>0.25645898724786609</v>
      </c>
      <c r="J31">
        <v>25.708583879195867</v>
      </c>
      <c r="K31" s="6">
        <v>30.260662538505393</v>
      </c>
      <c r="L31" s="6">
        <v>7.3632362453549032</v>
      </c>
      <c r="M31" s="6">
        <v>0.32490133402887428</v>
      </c>
      <c r="N31" s="6"/>
      <c r="O31" s="30">
        <v>0.2811338723102792</v>
      </c>
      <c r="P31" s="14">
        <f t="shared" si="0"/>
        <v>137.89857286866862</v>
      </c>
      <c r="Q31" s="14">
        <f t="shared" si="14"/>
        <v>33.55444609440616</v>
      </c>
      <c r="R31" s="14">
        <f t="shared" si="6"/>
        <v>1.480583256519844</v>
      </c>
      <c r="S31" s="14"/>
      <c r="T31" s="14">
        <f t="shared" si="15"/>
        <v>3.4574262820168192E-2</v>
      </c>
      <c r="U31" s="14">
        <f t="shared" si="16"/>
        <v>0.1668559145064259</v>
      </c>
      <c r="V31" s="14"/>
      <c r="W31" s="14"/>
      <c r="X31" s="14">
        <v>0.46592321475352971</v>
      </c>
      <c r="Y31" s="14">
        <f>B31/10</f>
        <v>0.99323233923491505</v>
      </c>
      <c r="Z31" s="14">
        <f>0.146+1.833*(L31/10)</f>
        <v>1.4956812037735536</v>
      </c>
      <c r="AA31" s="14">
        <v>1.4E-2</v>
      </c>
      <c r="AB31" s="14">
        <v>7.0000000000000007E-2</v>
      </c>
      <c r="AC31" s="14"/>
      <c r="AD31" s="8">
        <v>1E-4</v>
      </c>
      <c r="AE31" s="14"/>
      <c r="AF31" s="8">
        <f>AA31*C31</f>
        <v>13.587050221867928</v>
      </c>
      <c r="AG31" s="8">
        <f>AB31*E31</f>
        <v>0.6211396716919958</v>
      </c>
      <c r="AH31" s="14"/>
      <c r="AI31" s="8">
        <f t="shared" si="1"/>
        <v>2.5708583879195867E-3</v>
      </c>
      <c r="AJ31" s="14">
        <f>(T31-((1-X31)*AA31))/X31</f>
        <v>5.8158054736662648E-2</v>
      </c>
      <c r="AK31" s="14">
        <f>(U31-((1-X31)*AB31))/X31</f>
        <v>0.27787956349773651</v>
      </c>
      <c r="AN31" s="14">
        <f t="shared" si="4"/>
        <v>56.442600750941374</v>
      </c>
      <c r="AO31" s="14">
        <f t="shared" si="8"/>
        <v>2.4657431548699869</v>
      </c>
      <c r="AQ31" s="14">
        <f t="shared" si="5"/>
        <v>295.9655056162681</v>
      </c>
    </row>
    <row r="32" spans="1:43" ht="14.75" x14ac:dyDescent="0.75">
      <c r="A32">
        <v>35</v>
      </c>
      <c r="B32" s="75">
        <v>1.9814423670891552</v>
      </c>
      <c r="C32" s="26">
        <v>196.20947674596709</v>
      </c>
      <c r="D32" s="75">
        <v>1.4070606060939907E-2</v>
      </c>
      <c r="E32" s="26">
        <v>1.3933215008273974</v>
      </c>
      <c r="F32" s="26"/>
      <c r="G32" s="26"/>
      <c r="H32" s="26"/>
      <c r="I32" s="26">
        <v>0.25325586552174256</v>
      </c>
      <c r="J32">
        <v>24.979476040089679</v>
      </c>
      <c r="K32" s="7">
        <v>24.384669383163445</v>
      </c>
      <c r="L32" s="18">
        <v>2.0596451153080007</v>
      </c>
      <c r="M32" s="18">
        <v>6.9756895123017054E-2</v>
      </c>
      <c r="N32" s="18"/>
      <c r="O32" s="28">
        <v>0.28344488496668729</v>
      </c>
      <c r="P32" s="14">
        <f t="shared" si="0"/>
        <v>110.41433750022728</v>
      </c>
      <c r="Q32" s="14">
        <f t="shared" ref="Q32:Q36" si="17">((1+O32)/O32)*L32</f>
        <v>9.3261199206306173</v>
      </c>
      <c r="R32" s="14">
        <f t="shared" ref="R32:R39" si="18">((1+O32)/O32)*M32</f>
        <v>0.315860807462855</v>
      </c>
      <c r="S32" s="14"/>
      <c r="T32" s="14">
        <f t="shared" si="15"/>
        <v>4.7531444837932924E-2</v>
      </c>
      <c r="U32" s="14">
        <f t="shared" si="16"/>
        <v>0.22669628457989566</v>
      </c>
      <c r="V32" s="14"/>
      <c r="W32" s="14"/>
      <c r="X32" s="14">
        <v>0.55487826664576223</v>
      </c>
      <c r="Y32" s="14">
        <f>B32/10</f>
        <v>0.19814423670891551</v>
      </c>
      <c r="Z32" s="14">
        <f>0.146+1.833*(L32/10)</f>
        <v>0.52353294963595653</v>
      </c>
      <c r="AA32" s="14">
        <v>1.4E-2</v>
      </c>
      <c r="AB32" s="14">
        <v>7.0000000000000007E-2</v>
      </c>
      <c r="AC32" s="14"/>
      <c r="AD32" s="8">
        <v>1E-4</v>
      </c>
      <c r="AE32" s="14"/>
      <c r="AF32" s="8">
        <f>AA32*C32</f>
        <v>2.7469326744435394</v>
      </c>
      <c r="AG32" s="8">
        <f>AB32*E32</f>
        <v>9.7532505057917829E-2</v>
      </c>
      <c r="AH32" s="14"/>
      <c r="AI32" s="8">
        <f t="shared" si="1"/>
        <v>2.4979476040089682E-3</v>
      </c>
      <c r="AJ32" s="14">
        <f>(T32-((1-X32)*AA32))/X32</f>
        <v>7.4430272464319838E-2</v>
      </c>
      <c r="AK32" s="14">
        <f>(U32-((1-X32)*AB32))/X32</f>
        <v>0.35239758880289962</v>
      </c>
      <c r="AN32" s="14">
        <f t="shared" si="4"/>
        <v>14.603924814283955</v>
      </c>
      <c r="AO32" s="14">
        <f t="shared" si="8"/>
        <v>0.49100313731881218</v>
      </c>
      <c r="AQ32" s="14">
        <f t="shared" si="5"/>
        <v>198.98639439765344</v>
      </c>
    </row>
    <row r="33" spans="1:43" ht="14.75" x14ac:dyDescent="0.75">
      <c r="A33">
        <v>36</v>
      </c>
      <c r="B33" s="75">
        <v>2.1539770487344096</v>
      </c>
      <c r="C33" s="26">
        <v>198.04605427098002</v>
      </c>
      <c r="D33" s="75">
        <v>0.20994709891241231</v>
      </c>
      <c r="E33" s="26">
        <v>19.303452917324574</v>
      </c>
      <c r="F33" s="26"/>
      <c r="G33" s="26"/>
      <c r="H33" s="26"/>
      <c r="I33" s="26">
        <v>0.27017285514061573</v>
      </c>
      <c r="J33">
        <v>25.061383655928502</v>
      </c>
      <c r="K33" s="7">
        <v>16.980224887902423</v>
      </c>
      <c r="L33" s="18">
        <v>2.1345962802455682</v>
      </c>
      <c r="M33" s="18">
        <v>0.74057059341616982</v>
      </c>
      <c r="N33" s="18"/>
      <c r="O33" s="28">
        <v>0.2810723463494752</v>
      </c>
      <c r="P33" s="14">
        <f t="shared" si="0"/>
        <v>77.39251769592498</v>
      </c>
      <c r="Q33" s="14">
        <f t="shared" si="17"/>
        <v>9.7290690484469931</v>
      </c>
      <c r="R33" s="14">
        <f t="shared" si="18"/>
        <v>3.3753747747402594</v>
      </c>
      <c r="S33" s="14"/>
      <c r="T33" s="14">
        <f t="shared" si="15"/>
        <v>4.9125285955634451E-2</v>
      </c>
      <c r="U33" s="14">
        <f t="shared" si="16"/>
        <v>0.17485860116305454</v>
      </c>
      <c r="V33" s="14"/>
      <c r="W33" s="14"/>
      <c r="X33" s="14">
        <v>0.30856282459332501</v>
      </c>
      <c r="Y33" s="14">
        <f>B33/10</f>
        <v>0.21539770487344095</v>
      </c>
      <c r="Z33" s="14">
        <f>0.146+1.833*(L33/10)</f>
        <v>0.53727149816901265</v>
      </c>
      <c r="AA33" s="14">
        <v>1.4E-2</v>
      </c>
      <c r="AB33" s="14">
        <v>7.0000000000000007E-2</v>
      </c>
      <c r="AC33" s="14"/>
      <c r="AD33" s="8">
        <v>1E-4</v>
      </c>
      <c r="AE33" s="14"/>
      <c r="AF33" s="8">
        <f>AA33*C33</f>
        <v>2.7726447597937205</v>
      </c>
      <c r="AG33" s="8">
        <f>AB33*E33</f>
        <v>1.3512417042127203</v>
      </c>
      <c r="AH33" s="14"/>
      <c r="AI33" s="8">
        <f t="shared" si="1"/>
        <v>2.5061383655928505E-3</v>
      </c>
      <c r="AJ33" s="14">
        <f>(T33-((1-X33)*AA33))/X33</f>
        <v>0.12783511932109237</v>
      </c>
      <c r="AK33" s="14">
        <f>(U33-((1-X33)*AB33))/X33</f>
        <v>0.40982901634781987</v>
      </c>
      <c r="AN33" s="14">
        <f t="shared" si="4"/>
        <v>25.317240978802268</v>
      </c>
      <c r="AO33" s="14">
        <f t="shared" si="8"/>
        <v>7.9111151212235846</v>
      </c>
      <c r="AQ33" s="14">
        <f t="shared" si="5"/>
        <v>250.81046286340762</v>
      </c>
    </row>
    <row r="34" spans="1:43" ht="14.75" x14ac:dyDescent="0.75">
      <c r="A34">
        <v>37</v>
      </c>
      <c r="B34" s="75">
        <v>10.428039057070194</v>
      </c>
      <c r="C34" s="26">
        <v>990.74077587324814</v>
      </c>
      <c r="D34" s="75">
        <v>1.501868731213438E-2</v>
      </c>
      <c r="E34" s="26">
        <v>1.426886285982345</v>
      </c>
      <c r="F34" s="26"/>
      <c r="G34" s="26"/>
      <c r="H34" s="26"/>
      <c r="I34" s="26">
        <v>0.26917489761790397</v>
      </c>
      <c r="J34">
        <v>25.844281326683692</v>
      </c>
      <c r="K34" s="7">
        <v>11.52702074139517</v>
      </c>
      <c r="L34" s="18">
        <v>6.7089594892327211</v>
      </c>
      <c r="M34" s="18">
        <v>8.8325403949576373E-2</v>
      </c>
      <c r="N34" s="18"/>
      <c r="O34" s="28">
        <v>0.29991728488931613</v>
      </c>
      <c r="P34" s="14">
        <f t="shared" si="0"/>
        <v>49.961020121088119</v>
      </c>
      <c r="Q34" s="14">
        <f t="shared" si="17"/>
        <v>29.078325401933114</v>
      </c>
      <c r="R34" s="14">
        <f t="shared" si="18"/>
        <v>0.38282461556444775</v>
      </c>
      <c r="S34" s="14"/>
      <c r="T34" s="14">
        <f t="shared" si="15"/>
        <v>2.9350084411639572E-2</v>
      </c>
      <c r="U34" s="14">
        <f t="shared" si="16"/>
        <v>0.26829371010521047</v>
      </c>
      <c r="V34" s="14"/>
      <c r="W34" s="14"/>
      <c r="X34" s="14">
        <v>0.57746453129735043</v>
      </c>
      <c r="Y34" s="14">
        <f>B34/10</f>
        <v>1.0428039057070193</v>
      </c>
      <c r="Z34" s="14">
        <f>0.146+1.833*(L34/10)</f>
        <v>1.3757522743763577</v>
      </c>
      <c r="AA34" s="14">
        <v>1.4E-2</v>
      </c>
      <c r="AB34" s="14">
        <v>7.0000000000000007E-2</v>
      </c>
      <c r="AC34" s="14"/>
      <c r="AD34" s="8">
        <v>1E-4</v>
      </c>
      <c r="AE34" s="14"/>
      <c r="AF34" s="8">
        <f>AA34*C34</f>
        <v>13.870370862225474</v>
      </c>
      <c r="AG34" s="8">
        <f>AB34*E34</f>
        <v>9.9882040018764162E-2</v>
      </c>
      <c r="AH34" s="14"/>
      <c r="AI34" s="8">
        <f t="shared" si="1"/>
        <v>2.5844281326683695E-3</v>
      </c>
      <c r="AJ34" s="14">
        <f>(T34-((1-X34)*AA34))/X34</f>
        <v>4.0581865343579764E-2</v>
      </c>
      <c r="AK34" s="14">
        <f>(U34-((1-X34)*AB34))/X34</f>
        <v>0.41338682180136227</v>
      </c>
      <c r="AN34" s="14">
        <f t="shared" si="4"/>
        <v>40.206108756881896</v>
      </c>
      <c r="AO34" s="14">
        <f t="shared" si="8"/>
        <v>0.58985598683419138</v>
      </c>
      <c r="AQ34" s="14">
        <f t="shared" si="5"/>
        <v>86.516011635024881</v>
      </c>
    </row>
    <row r="35" spans="1:43" ht="14.75" x14ac:dyDescent="0.75">
      <c r="A35">
        <v>38</v>
      </c>
      <c r="B35" s="75">
        <v>10.408958323522402</v>
      </c>
      <c r="C35" s="26">
        <v>995.09881326923687</v>
      </c>
      <c r="D35" s="75">
        <v>0.19649223857163317</v>
      </c>
      <c r="E35" s="26">
        <v>18.784703266357269</v>
      </c>
      <c r="F35" s="26"/>
      <c r="G35" s="26"/>
      <c r="H35" s="26"/>
      <c r="I35" s="26">
        <v>0.2673399434632403</v>
      </c>
      <c r="J35">
        <v>25.719333104084384</v>
      </c>
      <c r="K35" s="7">
        <v>11.353885094359677</v>
      </c>
      <c r="L35" s="18">
        <v>6.3151645845765474</v>
      </c>
      <c r="M35" s="18">
        <v>0.627608783052793</v>
      </c>
      <c r="N35" s="18"/>
      <c r="O35" s="28">
        <v>0.28996570686766993</v>
      </c>
      <c r="P35" s="14">
        <f t="shared" si="0"/>
        <v>50.509843283378174</v>
      </c>
      <c r="Q35" s="14">
        <f t="shared" si="17"/>
        <v>28.094169601395883</v>
      </c>
      <c r="R35" s="14">
        <f t="shared" si="18"/>
        <v>2.7920329483531794</v>
      </c>
      <c r="S35" s="14"/>
      <c r="T35" s="14">
        <f t="shared" si="15"/>
        <v>2.8232542564388168E-2</v>
      </c>
      <c r="U35" s="14">
        <f t="shared" si="16"/>
        <v>0.14863332727504994</v>
      </c>
      <c r="V35" s="14"/>
      <c r="W35" s="14"/>
      <c r="X35" s="14">
        <v>0.57682163641576834</v>
      </c>
      <c r="Y35" s="14">
        <f>B35/10</f>
        <v>1.0408958323522401</v>
      </c>
      <c r="Z35" s="14">
        <f>0.146+1.833*(L35/10)</f>
        <v>1.303569668352881</v>
      </c>
      <c r="AA35" s="14">
        <v>1.4E-2</v>
      </c>
      <c r="AB35" s="14">
        <v>7.0000000000000007E-2</v>
      </c>
      <c r="AC35" s="14"/>
      <c r="AD35" s="8">
        <v>1E-4</v>
      </c>
      <c r="AE35" s="14"/>
      <c r="AF35" s="8">
        <f>AA35*C35</f>
        <v>13.931383385769317</v>
      </c>
      <c r="AG35" s="8">
        <f>AB35*E35</f>
        <v>1.3149292286450089</v>
      </c>
      <c r="AH35" s="14"/>
      <c r="AI35" s="8">
        <f t="shared" si="1"/>
        <v>2.5719333104084387E-3</v>
      </c>
      <c r="AJ35" s="14">
        <f>(T35-((1-X35)*AA35))/X35</f>
        <v>3.8674078893478722E-2</v>
      </c>
      <c r="AK35" s="14">
        <f>(U35-((1-X35)*AB35))/X35</f>
        <v>0.20632173675671847</v>
      </c>
      <c r="AN35" s="14">
        <f t="shared" si="4"/>
        <v>38.484530011181519</v>
      </c>
      <c r="AO35" s="14">
        <f t="shared" si="8"/>
        <v>3.8756926023744338</v>
      </c>
      <c r="AQ35" s="14">
        <f t="shared" si="5"/>
        <v>87.563904867885938</v>
      </c>
    </row>
    <row r="36" spans="1:43" ht="14.75" x14ac:dyDescent="0.75">
      <c r="A36">
        <v>39</v>
      </c>
      <c r="B36" s="75">
        <v>5.1764084816725333</v>
      </c>
      <c r="C36" s="26">
        <v>497.09355828289796</v>
      </c>
      <c r="D36" s="75">
        <v>1.5550714497427363E-2</v>
      </c>
      <c r="E36" s="26">
        <v>1.4933442812206248</v>
      </c>
      <c r="F36" s="26"/>
      <c r="G36" s="26"/>
      <c r="H36" s="26"/>
      <c r="I36" s="26">
        <v>0.26742042390862025</v>
      </c>
      <c r="J36">
        <v>25.680540967529176</v>
      </c>
      <c r="K36" s="7">
        <v>11.854576487720118</v>
      </c>
      <c r="L36" s="18">
        <v>3.9405109081389655</v>
      </c>
      <c r="M36" s="18">
        <v>7.3878067996590746E-2</v>
      </c>
      <c r="N36" s="18"/>
      <c r="O36" s="28">
        <v>0.25683448149705551</v>
      </c>
      <c r="P36" s="14">
        <f t="shared" si="0"/>
        <v>58.011059910901075</v>
      </c>
      <c r="Q36" s="14">
        <f t="shared" si="17"/>
        <v>19.283119444073193</v>
      </c>
      <c r="R36" s="14">
        <f t="shared" si="18"/>
        <v>0.36152662502041749</v>
      </c>
      <c r="S36" s="14"/>
      <c r="T36" s="14">
        <f t="shared" si="15"/>
        <v>3.8791730696898494E-2</v>
      </c>
      <c r="U36" s="14">
        <f t="shared" si="16"/>
        <v>0.24209194729356986</v>
      </c>
      <c r="V36" s="14"/>
      <c r="W36" s="14"/>
      <c r="X36" s="14">
        <v>0.37204274306974033</v>
      </c>
      <c r="Y36" s="14">
        <f>B36/10</f>
        <v>0.51764084816725331</v>
      </c>
      <c r="Z36" s="14">
        <f>0.146+1.833*(L36/10)</f>
        <v>0.86829564946187243</v>
      </c>
      <c r="AA36" s="14">
        <v>1.4E-2</v>
      </c>
      <c r="AB36" s="14">
        <v>7.0000000000000007E-2</v>
      </c>
      <c r="AC36" s="14"/>
      <c r="AD36" s="8">
        <v>1E-4</v>
      </c>
      <c r="AE36" s="14"/>
      <c r="AF36" s="8">
        <f>AA36*C36</f>
        <v>6.9593098159605713</v>
      </c>
      <c r="AG36" s="8">
        <f>AB36*E36</f>
        <v>0.10453409968544375</v>
      </c>
      <c r="AH36" s="14"/>
      <c r="AI36" s="8">
        <f t="shared" si="1"/>
        <v>2.5680540967529175E-3</v>
      </c>
      <c r="AJ36" s="14">
        <f>(T36-((1-X36)*AA36))/X36</f>
        <v>8.0636780742827777E-2</v>
      </c>
      <c r="AK36" s="14">
        <f>(U36-((1-X36)*AB36))/X36</f>
        <v>0.53255961310690259</v>
      </c>
      <c r="AN36" s="14">
        <f t="shared" si="4"/>
        <v>40.084024267930126</v>
      </c>
      <c r="AO36" s="14">
        <f t="shared" si="8"/>
        <v>0.79529485264226163</v>
      </c>
      <c r="AQ36" s="14">
        <f t="shared" si="5"/>
        <v>155.92145892715561</v>
      </c>
    </row>
    <row r="37" spans="1:43" ht="14.75" x14ac:dyDescent="0.75">
      <c r="A37">
        <v>40</v>
      </c>
      <c r="B37" s="75">
        <v>4.636152792625194</v>
      </c>
      <c r="C37" s="26">
        <v>444.17510363825971</v>
      </c>
      <c r="D37" s="75">
        <v>4.8493275078396181E-2</v>
      </c>
      <c r="E37" s="26">
        <v>4.6459869739341881</v>
      </c>
      <c r="F37" s="26"/>
      <c r="G37" s="26"/>
      <c r="H37" s="26"/>
      <c r="I37" s="26">
        <v>0.2518233135939788</v>
      </c>
      <c r="J37">
        <v>22.95592796682697</v>
      </c>
      <c r="K37" s="7">
        <v>14.299300425024592</v>
      </c>
      <c r="L37" s="18">
        <v>4.0962942455074192</v>
      </c>
      <c r="M37" s="18">
        <v>0.19279651550606852</v>
      </c>
      <c r="N37" s="18"/>
      <c r="O37" s="28">
        <v>0.2582418870738859</v>
      </c>
      <c r="P37" s="14">
        <f t="shared" si="0"/>
        <v>69.671031893720837</v>
      </c>
      <c r="Q37" s="14">
        <f t="shared" ref="Q37:Q39" si="19">((1+O37)/O37)*L37</f>
        <v>19.958532133876872</v>
      </c>
      <c r="R37" s="14">
        <f t="shared" si="18"/>
        <v>0.93936988395000054</v>
      </c>
      <c r="S37" s="14"/>
      <c r="T37" s="14">
        <f t="shared" si="15"/>
        <v>4.4933928017116612E-2</v>
      </c>
      <c r="U37" s="14">
        <f t="shared" si="16"/>
        <v>0.20218952167111845</v>
      </c>
      <c r="V37" s="14"/>
      <c r="W37" s="14"/>
      <c r="X37" s="14">
        <v>0.45766194669852922</v>
      </c>
      <c r="Y37" s="14">
        <f>B37/10</f>
        <v>0.46361527926251939</v>
      </c>
      <c r="Z37" s="14">
        <f>0.146+1.833*(L37/10)</f>
        <v>0.89685073520150993</v>
      </c>
      <c r="AA37" s="14">
        <v>1.4E-2</v>
      </c>
      <c r="AB37" s="14">
        <v>7.0000000000000007E-2</v>
      </c>
      <c r="AC37" s="14"/>
      <c r="AD37" s="8">
        <v>1E-4</v>
      </c>
      <c r="AE37" s="14"/>
      <c r="AF37" s="8">
        <f>AA37*C37</f>
        <v>6.2184514509356363</v>
      </c>
      <c r="AG37" s="8">
        <f>AB37*E37</f>
        <v>0.32521908817539319</v>
      </c>
      <c r="AH37" s="14"/>
      <c r="AI37" s="8">
        <f t="shared" si="1"/>
        <v>2.2955927966826972E-3</v>
      </c>
      <c r="AJ37" s="14">
        <f>(T37-((1-X37)*AA37))/X37</f>
        <v>8.1591217142406178E-2</v>
      </c>
      <c r="AK37" s="14">
        <f>(U37-((1-X37)*AB37))/X37</f>
        <v>0.35883660226659447</v>
      </c>
      <c r="AN37" s="14">
        <f t="shared" si="4"/>
        <v>36.240787330200014</v>
      </c>
      <c r="AO37" s="14">
        <f t="shared" si="8"/>
        <v>1.667150179901401</v>
      </c>
      <c r="AQ37" s="14">
        <f t="shared" si="5"/>
        <v>152.22980063991457</v>
      </c>
    </row>
    <row r="38" spans="1:43" ht="14.75" x14ac:dyDescent="0.75">
      <c r="A38">
        <v>41</v>
      </c>
      <c r="B38" s="75">
        <v>4.7602018960346424</v>
      </c>
      <c r="C38" s="26">
        <v>492.34256043269096</v>
      </c>
      <c r="D38" s="75">
        <v>8.930902579047352E-2</v>
      </c>
      <c r="E38" s="26">
        <v>9.2371364466829675</v>
      </c>
      <c r="F38" s="26"/>
      <c r="G38" s="26"/>
      <c r="H38" s="26"/>
      <c r="I38" s="26">
        <v>0.24702667904933162</v>
      </c>
      <c r="J38">
        <v>25.328285072849646</v>
      </c>
      <c r="K38" s="7">
        <v>14.343421642333725</v>
      </c>
      <c r="L38" s="18">
        <v>4.1112609601159082</v>
      </c>
      <c r="M38" s="18">
        <v>0.31457490360778073</v>
      </c>
      <c r="N38" s="18"/>
      <c r="O38" s="28">
        <v>0.34470817941009591</v>
      </c>
      <c r="P38" s="14">
        <f t="shared" si="0"/>
        <v>55.953753218682827</v>
      </c>
      <c r="Q38" s="14">
        <f t="shared" si="19"/>
        <v>16.038047748731046</v>
      </c>
      <c r="R38" s="14">
        <f t="shared" si="18"/>
        <v>1.2271581331270724</v>
      </c>
      <c r="S38" s="14"/>
      <c r="T38" s="14">
        <f t="shared" si="15"/>
        <v>3.2574977338209694E-2</v>
      </c>
      <c r="U38" s="14">
        <f t="shared" si="16"/>
        <v>0.13285049324650194</v>
      </c>
      <c r="V38" s="14"/>
      <c r="W38" s="14"/>
      <c r="X38" s="14">
        <v>0.54001875900185847</v>
      </c>
      <c r="Y38" s="14">
        <f>B38/10</f>
        <v>0.47602018960346426</v>
      </c>
      <c r="Z38" s="14">
        <f>0.146+1.833*(L38/10)</f>
        <v>0.89959413398924604</v>
      </c>
      <c r="AA38" s="14">
        <v>1.4E-2</v>
      </c>
      <c r="AB38" s="14">
        <v>7.0000000000000007E-2</v>
      </c>
      <c r="AC38" s="14"/>
      <c r="AD38" s="8">
        <v>1E-4</v>
      </c>
      <c r="AE38" s="14"/>
      <c r="AF38" s="8">
        <f>AA38*C38</f>
        <v>6.8927958460576733</v>
      </c>
      <c r="AG38" s="8">
        <f>AB38*E38</f>
        <v>0.64659955126780777</v>
      </c>
      <c r="AH38" s="14"/>
      <c r="AI38" s="8">
        <f t="shared" si="1"/>
        <v>2.5328285072849649E-3</v>
      </c>
      <c r="AJ38" s="14">
        <f>(T38-((1-X38)*AA38))/X38</f>
        <v>4.8396911271272651E-2</v>
      </c>
      <c r="AK38" s="14">
        <f>(U38-((1-X38)*AB38))/X38</f>
        <v>0.18638575919597944</v>
      </c>
      <c r="AN38" s="14">
        <f t="shared" si="4"/>
        <v>23.827859212332136</v>
      </c>
      <c r="AO38" s="14">
        <f t="shared" si="8"/>
        <v>1.7216706894118563</v>
      </c>
      <c r="AQ38" s="14">
        <f t="shared" si="5"/>
        <v>103.61230463271785</v>
      </c>
    </row>
    <row r="39" spans="1:43" ht="15.5" thickBot="1" x14ac:dyDescent="0.9">
      <c r="A39">
        <v>42</v>
      </c>
      <c r="B39" s="76">
        <v>5.2486009029378078</v>
      </c>
      <c r="C39" s="26">
        <v>490.25314338587646</v>
      </c>
      <c r="D39" s="76">
        <v>0.20622214923495955</v>
      </c>
      <c r="E39" s="26">
        <v>19.26247751884522</v>
      </c>
      <c r="F39" s="26"/>
      <c r="G39" s="26"/>
      <c r="H39" s="26"/>
      <c r="I39" s="26">
        <v>0.26750090435400026</v>
      </c>
      <c r="J39">
        <v>25.306548999442374</v>
      </c>
      <c r="K39" s="7">
        <v>14.390427763888937</v>
      </c>
      <c r="L39" s="18">
        <v>4.1598191373755284</v>
      </c>
      <c r="M39" s="18">
        <v>0.6939103448643188</v>
      </c>
      <c r="N39" s="18"/>
      <c r="O39" s="28">
        <v>0.31005386777296967</v>
      </c>
      <c r="P39" s="14">
        <f t="shared" si="0"/>
        <v>60.803097495285478</v>
      </c>
      <c r="Q39" s="14">
        <f t="shared" si="19"/>
        <v>17.57625921359308</v>
      </c>
      <c r="R39" s="14">
        <f t="shared" si="18"/>
        <v>2.9319419161150919</v>
      </c>
      <c r="S39" s="14"/>
      <c r="T39" s="14">
        <f t="shared" si="15"/>
        <v>3.5851395244923236E-2</v>
      </c>
      <c r="U39" s="14">
        <f t="shared" si="16"/>
        <v>0.15221001105629642</v>
      </c>
      <c r="V39" s="14"/>
      <c r="W39" s="14"/>
      <c r="X39" s="14">
        <v>0.97950741090053373</v>
      </c>
      <c r="Y39" s="14">
        <f>B39/10</f>
        <v>0.52486009029378078</v>
      </c>
      <c r="Z39" s="14">
        <f>0.146+1.833*(L39/10)</f>
        <v>0.90849484788093438</v>
      </c>
      <c r="AA39" s="14">
        <v>1.4E-2</v>
      </c>
      <c r="AB39" s="14">
        <v>7.0000000000000007E-2</v>
      </c>
      <c r="AC39" s="14"/>
      <c r="AD39" s="8">
        <v>1E-4</v>
      </c>
      <c r="AE39" s="14"/>
      <c r="AF39" s="8">
        <f>AA39*C39</f>
        <v>6.8635440074022709</v>
      </c>
      <c r="AG39" s="8">
        <f>AB39*E39</f>
        <v>1.3483734263191656</v>
      </c>
      <c r="AH39" s="14"/>
      <c r="AI39" s="8">
        <f t="shared" si="1"/>
        <v>2.5306548999442374E-3</v>
      </c>
      <c r="AJ39" s="14">
        <f>(T39-((1-X39)*AA39))/X39</f>
        <v>3.6308555302132561E-2</v>
      </c>
      <c r="AK39" s="14">
        <f>(U39-((1-X39)*AB39))/X39</f>
        <v>0.15392995309827689</v>
      </c>
      <c r="AN39" s="14">
        <f t="shared" si="4"/>
        <v>17.800383368670417</v>
      </c>
      <c r="AO39" s="14">
        <f t="shared" si="8"/>
        <v>2.9650722610324576</v>
      </c>
      <c r="AQ39" s="14">
        <f t="shared" si="5"/>
        <v>62.075125679461387</v>
      </c>
    </row>
    <row r="40" spans="1:43" ht="15.5" thickTop="1" x14ac:dyDescent="0.75">
      <c r="A40"/>
      <c r="B40" s="13"/>
      <c r="C40" s="26"/>
      <c r="D40" s="13"/>
      <c r="E40" t="s">
        <v>66</v>
      </c>
      <c r="F40"/>
      <c r="G40"/>
      <c r="H40"/>
      <c r="I40" s="32">
        <f>AVERAGE(I28:I39)</f>
        <v>0.26157888491478948</v>
      </c>
      <c r="J40" s="32"/>
      <c r="K40" s="6"/>
      <c r="L40" s="6"/>
      <c r="M40" s="6"/>
      <c r="N40" s="6"/>
      <c r="O40" s="29"/>
      <c r="P40" s="79"/>
      <c r="Q40" s="14"/>
      <c r="R40" s="14"/>
      <c r="S40" s="14"/>
      <c r="T40" s="14"/>
      <c r="X40" s="14"/>
      <c r="Y40" s="14"/>
      <c r="Z40" s="14"/>
      <c r="AA40" s="14"/>
      <c r="AJ40" s="14"/>
      <c r="AK40" s="14"/>
    </row>
    <row r="41" spans="1:43" ht="14.75" x14ac:dyDescent="0.75">
      <c r="A41"/>
      <c r="B41" s="13"/>
      <c r="C41" s="26"/>
      <c r="D41" s="13"/>
      <c r="E41"/>
      <c r="F41"/>
      <c r="G41"/>
      <c r="H41"/>
      <c r="I41"/>
      <c r="J41"/>
      <c r="K41" s="6"/>
      <c r="L41" s="6"/>
      <c r="M41" s="6"/>
      <c r="N41" s="6"/>
      <c r="O41" s="29"/>
      <c r="P41" s="79"/>
      <c r="Q41" s="14"/>
      <c r="R41" s="14"/>
      <c r="S41" s="14"/>
      <c r="T41" s="14"/>
      <c r="X41" s="14"/>
      <c r="Y41" s="14"/>
      <c r="Z41" s="14"/>
      <c r="AA41" s="14"/>
      <c r="AJ41" s="14"/>
      <c r="AK41" s="14"/>
    </row>
    <row r="42" spans="1:43" ht="14.75" x14ac:dyDescent="0.75">
      <c r="A42"/>
      <c r="B42" s="13"/>
      <c r="C42" s="26"/>
      <c r="D42" s="13"/>
      <c r="E42"/>
      <c r="F42"/>
      <c r="G42"/>
      <c r="H42"/>
      <c r="I42"/>
      <c r="J42"/>
      <c r="K42" s="6"/>
      <c r="L42" s="6"/>
      <c r="M42" s="6"/>
      <c r="N42" s="6"/>
      <c r="O42" s="29"/>
      <c r="P42" s="79"/>
      <c r="Q42" s="14"/>
      <c r="R42" s="14"/>
      <c r="S42" s="14"/>
      <c r="T42" s="14"/>
      <c r="X42" s="14"/>
      <c r="Y42" s="14"/>
      <c r="Z42" s="14"/>
      <c r="AA42" s="14"/>
      <c r="AJ42" s="14"/>
      <c r="AK42" s="14"/>
    </row>
    <row r="43" spans="1:43" ht="14.75" x14ac:dyDescent="0.75">
      <c r="A43"/>
      <c r="B43" s="13"/>
      <c r="C43" s="26"/>
      <c r="D43" s="13"/>
      <c r="E43"/>
      <c r="F43"/>
      <c r="G43"/>
      <c r="H43"/>
      <c r="I43"/>
      <c r="J43"/>
      <c r="K43" s="6"/>
      <c r="L43" s="6"/>
      <c r="M43" s="6"/>
      <c r="N43" s="6"/>
      <c r="O43" s="29"/>
      <c r="P43" s="79"/>
      <c r="Q43" s="14"/>
      <c r="R43" s="14"/>
      <c r="S43" s="14"/>
      <c r="T43" s="14"/>
      <c r="X43" s="14"/>
      <c r="Y43" s="14"/>
      <c r="Z43" s="14"/>
      <c r="AA43" s="14"/>
      <c r="AJ43" s="14"/>
      <c r="AK43" s="14"/>
    </row>
    <row r="44" spans="1:43" ht="14.75" x14ac:dyDescent="0.75">
      <c r="A44"/>
      <c r="B44" s="13"/>
      <c r="C44" s="13"/>
      <c r="D44" s="13"/>
      <c r="E44"/>
      <c r="F44"/>
      <c r="G44"/>
      <c r="H44"/>
      <c r="I44"/>
      <c r="J44"/>
      <c r="K44" s="6"/>
      <c r="L44" s="6"/>
      <c r="M44" s="6"/>
      <c r="N44" s="6"/>
      <c r="O44" s="29"/>
      <c r="P44" s="79"/>
      <c r="Q44" s="14"/>
      <c r="R44" s="14"/>
      <c r="S44" s="14"/>
      <c r="T44" s="14"/>
      <c r="X44" s="14"/>
      <c r="Y44" s="14"/>
      <c r="Z44" s="14"/>
      <c r="AA44" s="14"/>
      <c r="AJ44" s="14"/>
      <c r="AK44" s="14"/>
    </row>
    <row r="45" spans="1:43" ht="14.75" x14ac:dyDescent="0.75">
      <c r="A45"/>
      <c r="B45" s="19"/>
      <c r="C45" s="26"/>
      <c r="D45" s="20"/>
      <c r="E45" s="26"/>
      <c r="F45" s="26"/>
      <c r="G45" s="26"/>
      <c r="H45" s="26"/>
      <c r="I45" s="26"/>
      <c r="J45" s="26"/>
      <c r="K45" s="7"/>
      <c r="L45" s="18"/>
      <c r="M45" s="18"/>
      <c r="N45" s="18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43" ht="14.75" x14ac:dyDescent="0.75">
      <c r="A46"/>
      <c r="B46" s="24"/>
      <c r="C46" s="26"/>
      <c r="D46" s="20"/>
      <c r="E46" s="13"/>
      <c r="F46" s="13"/>
      <c r="G46" s="13"/>
      <c r="H46" s="13"/>
      <c r="I46" s="26"/>
      <c r="J46" s="26"/>
      <c r="K46" s="23"/>
      <c r="L46" s="18"/>
      <c r="M46" s="18"/>
      <c r="N46" s="18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</sheetData>
  <mergeCells count="2">
    <mergeCell ref="K1:M1"/>
    <mergeCell ref="B1:J1"/>
  </mergeCells>
  <conditionalFormatting sqref="I12:J12">
    <cfRule type="cellIs" dxfId="1" priority="5" stopIfTrue="1" operator="greaterThan">
      <formula>5</formula>
    </cfRule>
  </conditionalFormatting>
  <conditionalFormatting sqref="I44:J44">
    <cfRule type="cellIs" dxfId="0" priority="2" stopIfTrue="1" operator="greaterThan">
      <formula>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B30"/>
  <sheetViews>
    <sheetView workbookViewId="0">
      <selection activeCell="AA7" sqref="AA7"/>
    </sheetView>
  </sheetViews>
  <sheetFormatPr defaultRowHeight="14.75" x14ac:dyDescent="0.75"/>
  <cols>
    <col min="6" max="6" width="11.1328125" bestFit="1" customWidth="1"/>
    <col min="7" max="7" width="10.40625" bestFit="1" customWidth="1"/>
    <col min="14" max="14" width="10" bestFit="1" customWidth="1"/>
    <col min="22" max="22" width="12.1328125" bestFit="1" customWidth="1"/>
    <col min="24" max="24" width="12.1328125" bestFit="1" customWidth="1"/>
  </cols>
  <sheetData>
    <row r="2" spans="1:28" x14ac:dyDescent="0.75">
      <c r="M2" s="37" t="s">
        <v>95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8" ht="16.75" x14ac:dyDescent="0.75">
      <c r="A3" s="37" t="s">
        <v>95</v>
      </c>
      <c r="B3" s="38"/>
      <c r="C3" s="39"/>
      <c r="D3" s="39"/>
      <c r="E3" s="39"/>
      <c r="F3" s="39"/>
      <c r="G3" s="39"/>
      <c r="H3" s="39"/>
      <c r="I3" s="39"/>
      <c r="J3" s="39"/>
      <c r="K3" s="39"/>
      <c r="M3" s="48"/>
      <c r="N3" s="49" t="s">
        <v>116</v>
      </c>
      <c r="O3" s="21" t="s">
        <v>117</v>
      </c>
      <c r="P3" s="50"/>
      <c r="Q3" s="50"/>
      <c r="R3" s="49" t="s">
        <v>118</v>
      </c>
      <c r="S3" s="50"/>
      <c r="T3" s="50"/>
      <c r="U3" s="50"/>
      <c r="V3" s="50"/>
    </row>
    <row r="4" spans="1:28" ht="17.75" x14ac:dyDescent="0.95">
      <c r="B4" s="21" t="s">
        <v>79</v>
      </c>
      <c r="C4" s="21" t="s">
        <v>80</v>
      </c>
      <c r="D4" s="21" t="s">
        <v>81</v>
      </c>
      <c r="E4" s="21" t="s">
        <v>82</v>
      </c>
      <c r="F4" s="21" t="s">
        <v>83</v>
      </c>
      <c r="G4" s="21" t="s">
        <v>84</v>
      </c>
      <c r="H4" s="21" t="s">
        <v>85</v>
      </c>
      <c r="I4" s="40" t="s">
        <v>86</v>
      </c>
      <c r="J4" s="21" t="s">
        <v>87</v>
      </c>
      <c r="K4" s="21" t="s">
        <v>88</v>
      </c>
      <c r="N4" s="21" t="s">
        <v>119</v>
      </c>
      <c r="O4" s="21" t="s">
        <v>120</v>
      </c>
      <c r="P4" s="40" t="s">
        <v>121</v>
      </c>
      <c r="Q4" s="40" t="s">
        <v>122</v>
      </c>
      <c r="R4" s="21" t="s">
        <v>120</v>
      </c>
      <c r="S4" s="40" t="s">
        <v>122</v>
      </c>
      <c r="T4" s="21" t="s">
        <v>123</v>
      </c>
      <c r="U4" s="40" t="s">
        <v>122</v>
      </c>
      <c r="V4" s="40" t="s">
        <v>124</v>
      </c>
      <c r="W4" s="40" t="s">
        <v>122</v>
      </c>
      <c r="X4" s="40" t="s">
        <v>125</v>
      </c>
      <c r="Y4" s="40" t="s">
        <v>122</v>
      </c>
      <c r="AA4" s="40" t="s">
        <v>135</v>
      </c>
      <c r="AB4" s="40" t="s">
        <v>136</v>
      </c>
    </row>
    <row r="5" spans="1:28" ht="17.5" thickBot="1" x14ac:dyDescent="0.9">
      <c r="A5" s="41" t="s">
        <v>89</v>
      </c>
      <c r="B5" s="42" t="s">
        <v>90</v>
      </c>
      <c r="C5" s="42" t="s">
        <v>91</v>
      </c>
      <c r="D5" s="42" t="s">
        <v>91</v>
      </c>
      <c r="E5" s="42" t="s">
        <v>91</v>
      </c>
      <c r="F5" s="42" t="s">
        <v>91</v>
      </c>
      <c r="G5" s="42" t="s">
        <v>91</v>
      </c>
      <c r="H5" s="42" t="s">
        <v>91</v>
      </c>
      <c r="I5" s="42" t="s">
        <v>92</v>
      </c>
      <c r="J5" s="42" t="s">
        <v>93</v>
      </c>
      <c r="K5" s="43" t="s">
        <v>94</v>
      </c>
      <c r="M5" s="41" t="s">
        <v>89</v>
      </c>
      <c r="N5" s="42" t="s">
        <v>126</v>
      </c>
      <c r="O5" s="42" t="s">
        <v>127</v>
      </c>
      <c r="P5" s="42" t="s">
        <v>128</v>
      </c>
      <c r="Q5" s="51" t="s">
        <v>129</v>
      </c>
      <c r="R5" s="42" t="s">
        <v>127</v>
      </c>
      <c r="S5" s="51" t="s">
        <v>129</v>
      </c>
      <c r="T5" s="52" t="s">
        <v>130</v>
      </c>
      <c r="U5" s="51" t="s">
        <v>129</v>
      </c>
      <c r="V5" s="52" t="s">
        <v>131</v>
      </c>
      <c r="W5" s="51" t="s">
        <v>129</v>
      </c>
      <c r="X5" s="52" t="s">
        <v>131</v>
      </c>
      <c r="Y5" s="51" t="s">
        <v>129</v>
      </c>
    </row>
    <row r="6" spans="1:28" ht="15.5" thickTop="1" x14ac:dyDescent="0.75">
      <c r="A6" t="s">
        <v>96</v>
      </c>
      <c r="B6" s="20">
        <v>8.2548999999999992</v>
      </c>
      <c r="C6" s="19">
        <v>431.79999999999995</v>
      </c>
      <c r="D6" s="19">
        <v>58.69999999999996</v>
      </c>
      <c r="E6" s="44">
        <v>1795</v>
      </c>
      <c r="F6" s="19">
        <v>1662.17</v>
      </c>
      <c r="G6" s="19">
        <v>121.03</v>
      </c>
      <c r="H6" s="21">
        <v>3851</v>
      </c>
      <c r="I6" s="20">
        <v>0.42132932867336781</v>
      </c>
      <c r="J6" s="20">
        <v>0.46450000000000002</v>
      </c>
      <c r="K6" s="21">
        <v>20308</v>
      </c>
      <c r="M6" t="s">
        <v>96</v>
      </c>
      <c r="N6" s="24">
        <v>160.5</v>
      </c>
      <c r="O6" s="24">
        <v>50.155763239875384</v>
      </c>
      <c r="P6" s="53">
        <v>186.33449999999999</v>
      </c>
      <c r="Q6" s="24">
        <v>0.64063874375497609</v>
      </c>
      <c r="R6" s="24">
        <v>48.792538654620628</v>
      </c>
      <c r="S6" s="24">
        <v>0.28616915501803242</v>
      </c>
      <c r="T6" s="20">
        <v>-5.7727140742197696</v>
      </c>
      <c r="U6" s="20">
        <v>4.1636985299184914E-3</v>
      </c>
      <c r="V6" s="54">
        <v>25.227366827171696</v>
      </c>
      <c r="W6" s="24">
        <v>3.2</v>
      </c>
      <c r="X6" s="24">
        <v>49.024683683322046</v>
      </c>
      <c r="Y6" s="55">
        <v>5.1134925420003254</v>
      </c>
      <c r="AA6">
        <f>X6/((C6/H6)*1000000)</f>
        <v>4.3722569908400468E-4</v>
      </c>
      <c r="AB6">
        <f>X6/((C6/E6)*1000000)</f>
        <v>2.0379645023520864E-4</v>
      </c>
    </row>
    <row r="7" spans="1:28" x14ac:dyDescent="0.75">
      <c r="A7" t="s">
        <v>97</v>
      </c>
      <c r="B7" s="20">
        <v>8.2528000000000006</v>
      </c>
      <c r="C7" s="19">
        <v>431.79999999999995</v>
      </c>
      <c r="D7" s="19">
        <v>58.399999999999956</v>
      </c>
      <c r="E7" s="44">
        <v>1795</v>
      </c>
      <c r="F7" s="19">
        <v>1662.18</v>
      </c>
      <c r="G7" s="19">
        <v>120.46999999999998</v>
      </c>
      <c r="H7" s="21">
        <v>3851</v>
      </c>
      <c r="I7" s="20">
        <v>0.41937066854001576</v>
      </c>
      <c r="J7" s="20">
        <v>0.46450000000000002</v>
      </c>
      <c r="K7" s="21">
        <v>24439</v>
      </c>
      <c r="M7" t="s">
        <v>97</v>
      </c>
      <c r="N7" s="24">
        <v>155.5</v>
      </c>
      <c r="O7" s="24">
        <v>48.553054662379417</v>
      </c>
      <c r="P7" s="53">
        <v>178.678</v>
      </c>
      <c r="Q7" s="24">
        <v>0.35072496346855425</v>
      </c>
      <c r="R7" s="24">
        <v>46.969512982019033</v>
      </c>
      <c r="S7" s="24">
        <v>0.2475880730503032</v>
      </c>
      <c r="T7" s="20">
        <v>-5.87979595989282</v>
      </c>
      <c r="U7" s="20">
        <v>3.6395950682202027E-3</v>
      </c>
      <c r="V7" s="54">
        <v>17.368415918416691</v>
      </c>
      <c r="W7" s="24">
        <v>3.2</v>
      </c>
      <c r="X7" s="24">
        <v>34.096387918832008</v>
      </c>
      <c r="Y7" s="55">
        <v>5.4222781212081861</v>
      </c>
      <c r="AA7">
        <f t="shared" ref="AA7:AA30" si="0">X7/((C7/H7)*1000000)</f>
        <v>3.0408798025804095E-4</v>
      </c>
      <c r="AB7">
        <f t="shared" ref="AB7:AB30" si="1">X7/((C7/E7)*1000000)</f>
        <v>1.4173926890760413E-4</v>
      </c>
    </row>
    <row r="8" spans="1:28" x14ac:dyDescent="0.75">
      <c r="A8" t="s">
        <v>98</v>
      </c>
      <c r="B8" s="20">
        <v>8.2523</v>
      </c>
      <c r="C8" s="19">
        <v>431.79999999999995</v>
      </c>
      <c r="D8" s="19">
        <v>58.399999999999956</v>
      </c>
      <c r="E8" s="44">
        <v>1795</v>
      </c>
      <c r="F8" s="19">
        <v>1662.18</v>
      </c>
      <c r="G8" s="19">
        <v>120.33999999999999</v>
      </c>
      <c r="H8" s="21">
        <v>3851</v>
      </c>
      <c r="I8" s="20">
        <v>0.41886702186185726</v>
      </c>
      <c r="J8" s="20">
        <v>0.46450000000000002</v>
      </c>
      <c r="K8" s="21">
        <v>25763</v>
      </c>
      <c r="M8" t="s">
        <v>98</v>
      </c>
      <c r="N8" s="24">
        <v>163.9</v>
      </c>
      <c r="O8" s="24">
        <v>51.189749847467972</v>
      </c>
      <c r="P8" s="53">
        <v>193.67349999999999</v>
      </c>
      <c r="Q8" s="24">
        <v>6.9296464556331178E-2</v>
      </c>
      <c r="R8" s="24">
        <v>50.539967037200526</v>
      </c>
      <c r="S8" s="24">
        <v>0.25133993847124803</v>
      </c>
      <c r="T8" s="20">
        <v>-5.8507092561715899</v>
      </c>
      <c r="U8" s="20">
        <v>3.6302754994803621E-3</v>
      </c>
      <c r="V8" s="54">
        <v>20.233406965216741</v>
      </c>
      <c r="W8" s="24">
        <v>3.2</v>
      </c>
      <c r="X8" s="24">
        <v>37.536684288729973</v>
      </c>
      <c r="Y8" s="55">
        <v>4.8370131600329076</v>
      </c>
      <c r="AA8">
        <f t="shared" si="0"/>
        <v>3.3477019730407398E-4</v>
      </c>
      <c r="AB8">
        <f t="shared" si="1"/>
        <v>1.5604063987556812E-4</v>
      </c>
    </row>
    <row r="9" spans="1:28" x14ac:dyDescent="0.75">
      <c r="A9" t="s">
        <v>99</v>
      </c>
      <c r="B9" s="20">
        <v>8.2529000000000003</v>
      </c>
      <c r="C9" s="19">
        <v>431.79999999999995</v>
      </c>
      <c r="D9" s="19">
        <v>58.399999999999956</v>
      </c>
      <c r="E9" s="44">
        <v>1795</v>
      </c>
      <c r="F9" s="19">
        <v>1662.18</v>
      </c>
      <c r="G9" s="19">
        <v>120.49999999999999</v>
      </c>
      <c r="H9" s="21">
        <v>3851</v>
      </c>
      <c r="I9" s="20">
        <v>0.41942100109867475</v>
      </c>
      <c r="J9" s="20">
        <v>0.46450000000000002</v>
      </c>
      <c r="K9" s="21">
        <v>28052</v>
      </c>
      <c r="M9" t="s">
        <v>99</v>
      </c>
      <c r="N9" s="24">
        <v>155.19999999999999</v>
      </c>
      <c r="O9" s="24">
        <v>48.453608247422686</v>
      </c>
      <c r="P9" s="53">
        <v>181.6585</v>
      </c>
      <c r="Q9" s="24">
        <v>2.7789296500631364</v>
      </c>
      <c r="R9" s="24">
        <v>47.679175101419418</v>
      </c>
      <c r="S9" s="24">
        <v>0.70269811610105415</v>
      </c>
      <c r="T9" s="20">
        <v>-5.92926299581345</v>
      </c>
      <c r="U9" s="20">
        <v>1.0278848650159489E-2</v>
      </c>
      <c r="V9" s="54">
        <v>16.820880018451312</v>
      </c>
      <c r="W9" s="24">
        <v>3.2</v>
      </c>
      <c r="X9" s="24">
        <v>32.47850718160943</v>
      </c>
      <c r="Y9" s="55">
        <v>5.3057595410178209</v>
      </c>
      <c r="AA9">
        <f t="shared" si="0"/>
        <v>2.8965894200180158E-4</v>
      </c>
      <c r="AB9">
        <f t="shared" si="1"/>
        <v>1.3501371095643569E-4</v>
      </c>
    </row>
    <row r="10" spans="1:28" x14ac:dyDescent="0.75">
      <c r="A10" t="s">
        <v>100</v>
      </c>
      <c r="B10" s="20">
        <v>8.2492999999999999</v>
      </c>
      <c r="C10" s="19">
        <v>431.9</v>
      </c>
      <c r="D10" s="19">
        <v>58.1</v>
      </c>
      <c r="E10" s="44">
        <v>3589</v>
      </c>
      <c r="F10" s="19">
        <v>3324.89</v>
      </c>
      <c r="G10" s="19">
        <v>239.65</v>
      </c>
      <c r="H10" s="21">
        <v>3852</v>
      </c>
      <c r="I10" s="20">
        <v>0.7123006827305044</v>
      </c>
      <c r="J10" s="20">
        <v>0.46760000000000002</v>
      </c>
      <c r="K10" s="21">
        <v>10467</v>
      </c>
      <c r="M10" t="s">
        <v>100</v>
      </c>
      <c r="N10" s="24">
        <v>170.2</v>
      </c>
      <c r="O10" s="24">
        <v>52.996474735605169</v>
      </c>
      <c r="P10" s="56">
        <v>202.005</v>
      </c>
      <c r="Q10" s="24">
        <v>0.32809754647055706</v>
      </c>
      <c r="R10" s="24">
        <v>52.523711357879712</v>
      </c>
      <c r="S10" s="24">
        <v>0.27209740498229806</v>
      </c>
      <c r="T10" s="20">
        <v>-5.4309628398074201</v>
      </c>
      <c r="U10" s="20">
        <v>3.9086821701399543E-3</v>
      </c>
      <c r="V10" s="57">
        <v>61.546370226315773</v>
      </c>
      <c r="W10" s="24">
        <v>3.2</v>
      </c>
      <c r="X10" s="24">
        <v>114.87120978738839</v>
      </c>
      <c r="Y10" s="55">
        <v>4.558349080350605</v>
      </c>
      <c r="AA10">
        <f t="shared" si="0"/>
        <v>1.0245054413082198E-3</v>
      </c>
      <c r="AB10">
        <f t="shared" si="1"/>
        <v>9.5455608225732114E-4</v>
      </c>
    </row>
    <row r="11" spans="1:28" x14ac:dyDescent="0.75">
      <c r="A11" t="s">
        <v>101</v>
      </c>
      <c r="B11" s="20">
        <v>8.2492000000000001</v>
      </c>
      <c r="C11" s="19">
        <v>431.9</v>
      </c>
      <c r="D11" s="19">
        <v>58</v>
      </c>
      <c r="E11" s="44">
        <v>3589</v>
      </c>
      <c r="F11" s="19">
        <v>3324.89</v>
      </c>
      <c r="G11" s="19">
        <v>239.64000000000001</v>
      </c>
      <c r="H11" s="21">
        <v>3852</v>
      </c>
      <c r="I11" s="20">
        <v>0.71225718150525619</v>
      </c>
      <c r="J11" s="20">
        <v>0.46760000000000002</v>
      </c>
      <c r="K11" s="21">
        <v>9324</v>
      </c>
      <c r="M11" t="s">
        <v>101</v>
      </c>
      <c r="N11" s="24">
        <v>168.5</v>
      </c>
      <c r="O11" s="24">
        <v>52.52225519287834</v>
      </c>
      <c r="P11" s="56">
        <v>195.86250000000001</v>
      </c>
      <c r="Q11" s="24">
        <v>5.7982756057332586E-2</v>
      </c>
      <c r="R11" s="24">
        <v>51.061171660373638</v>
      </c>
      <c r="S11" s="24">
        <v>0.25376002001874376</v>
      </c>
      <c r="T11" s="20">
        <v>-5.40179203780023</v>
      </c>
      <c r="U11" s="20">
        <v>3.6588799539600814E-3</v>
      </c>
      <c r="V11" s="57">
        <v>51.137950957344216</v>
      </c>
      <c r="W11" s="24">
        <v>3.2</v>
      </c>
      <c r="X11" s="24">
        <v>97.704132228799025</v>
      </c>
      <c r="Y11" s="55">
        <v>4.7647677261379293</v>
      </c>
      <c r="AA11">
        <f t="shared" si="0"/>
        <v>8.7139689128347734E-4</v>
      </c>
      <c r="AB11">
        <f t="shared" si="1"/>
        <v>8.1190120530020779E-4</v>
      </c>
    </row>
    <row r="12" spans="1:28" x14ac:dyDescent="0.75">
      <c r="A12" t="s">
        <v>102</v>
      </c>
      <c r="B12" s="20">
        <v>8.2492000000000001</v>
      </c>
      <c r="C12" s="19">
        <v>431.9</v>
      </c>
      <c r="D12" s="19">
        <v>58</v>
      </c>
      <c r="E12" s="44">
        <v>3589</v>
      </c>
      <c r="F12" s="19">
        <v>3324.89</v>
      </c>
      <c r="G12" s="19">
        <v>239.64000000000001</v>
      </c>
      <c r="H12" s="21">
        <v>3852</v>
      </c>
      <c r="I12" s="20">
        <v>0.71225718150525619</v>
      </c>
      <c r="J12" s="20">
        <v>0.46760000000000002</v>
      </c>
      <c r="K12" s="21">
        <v>9939</v>
      </c>
      <c r="M12" t="s">
        <v>102</v>
      </c>
      <c r="N12" s="24">
        <v>167.4</v>
      </c>
      <c r="O12" s="24">
        <v>52.210274790919954</v>
      </c>
      <c r="P12" s="56">
        <v>199.26350000000002</v>
      </c>
      <c r="Q12" s="24">
        <v>1.3364318164426054</v>
      </c>
      <c r="R12" s="24">
        <v>51.870955544983843</v>
      </c>
      <c r="S12" s="24">
        <v>0.40928182526669316</v>
      </c>
      <c r="T12" s="20">
        <v>-5.41786810397931</v>
      </c>
      <c r="U12" s="20">
        <v>5.8873724523191839E-3</v>
      </c>
      <c r="V12" s="57">
        <v>46.887173921167097</v>
      </c>
      <c r="W12" s="24">
        <v>3.2</v>
      </c>
      <c r="X12" s="24">
        <v>88.023760984615947</v>
      </c>
      <c r="Y12" s="55">
        <v>4.6548193583783792</v>
      </c>
      <c r="AA12">
        <f t="shared" si="0"/>
        <v>7.850602623587419E-4</v>
      </c>
      <c r="AB12">
        <f t="shared" si="1"/>
        <v>7.3145931505854745E-4</v>
      </c>
    </row>
    <row r="13" spans="1:28" x14ac:dyDescent="0.75">
      <c r="A13" t="s">
        <v>103</v>
      </c>
      <c r="B13" s="20">
        <v>8.2490000000000006</v>
      </c>
      <c r="C13" s="19">
        <v>432</v>
      </c>
      <c r="D13" s="19">
        <v>58.1</v>
      </c>
      <c r="E13" s="44">
        <v>4787</v>
      </c>
      <c r="F13" s="19">
        <v>4434.91</v>
      </c>
      <c r="G13" s="19">
        <v>320.02</v>
      </c>
      <c r="H13" s="21">
        <v>3853</v>
      </c>
      <c r="I13" s="20">
        <v>0.83419671109855587</v>
      </c>
      <c r="J13" s="20">
        <v>0.47</v>
      </c>
      <c r="K13" s="21">
        <v>6447</v>
      </c>
      <c r="M13" t="s">
        <v>103</v>
      </c>
      <c r="N13" s="24">
        <v>165.2</v>
      </c>
      <c r="O13" s="24">
        <v>51.573849878934631</v>
      </c>
      <c r="P13" s="53">
        <v>196.88250000000002</v>
      </c>
      <c r="Q13" s="24">
        <v>9.4752308679007663E-2</v>
      </c>
      <c r="R13" s="24">
        <v>51.304035395246451</v>
      </c>
      <c r="S13" s="24">
        <v>0.25558703262721943</v>
      </c>
      <c r="T13" s="20">
        <v>-5.2380463068960204</v>
      </c>
      <c r="U13" s="20">
        <v>3.6825137286999876E-3</v>
      </c>
      <c r="V13" s="54">
        <v>62.414679714119679</v>
      </c>
      <c r="W13" s="24">
        <v>3.2</v>
      </c>
      <c r="X13" s="24">
        <v>119.2338996838519</v>
      </c>
      <c r="Y13" s="55">
        <v>4.7323103449474191</v>
      </c>
      <c r="AA13">
        <f t="shared" si="0"/>
        <v>1.0634449432450957E-3</v>
      </c>
      <c r="AB13">
        <f t="shared" si="1"/>
        <v>1.3212330504319425E-3</v>
      </c>
    </row>
    <row r="14" spans="1:28" x14ac:dyDescent="0.75">
      <c r="A14" t="s">
        <v>104</v>
      </c>
      <c r="B14" s="20">
        <v>8.2494999999999994</v>
      </c>
      <c r="C14" s="19">
        <v>432</v>
      </c>
      <c r="D14" s="19">
        <v>58.1</v>
      </c>
      <c r="E14" s="44">
        <v>4787</v>
      </c>
      <c r="F14" s="19">
        <v>4435.01</v>
      </c>
      <c r="G14" s="19">
        <v>320.46000000000004</v>
      </c>
      <c r="H14" s="21">
        <v>3853</v>
      </c>
      <c r="I14" s="20">
        <v>0.83453406970062238</v>
      </c>
      <c r="J14" s="20">
        <v>0.47</v>
      </c>
      <c r="K14" s="21">
        <v>7200</v>
      </c>
      <c r="M14" t="s">
        <v>104</v>
      </c>
      <c r="N14" s="24">
        <v>174</v>
      </c>
      <c r="O14" s="24">
        <v>54.022988505747129</v>
      </c>
      <c r="P14" s="53">
        <v>201.12049999999999</v>
      </c>
      <c r="Q14" s="24">
        <v>0.3832518754030898</v>
      </c>
      <c r="R14" s="24">
        <v>52.313110403472848</v>
      </c>
      <c r="S14" s="24">
        <v>0.27516827181223397</v>
      </c>
      <c r="T14" s="20">
        <v>-5.2714994657146796</v>
      </c>
      <c r="U14" s="20">
        <v>3.9544915011795467E-3</v>
      </c>
      <c r="V14" s="54">
        <v>57.500566121844521</v>
      </c>
      <c r="W14" s="24">
        <v>3.2</v>
      </c>
      <c r="X14" s="24">
        <v>107.58955625051195</v>
      </c>
      <c r="Y14" s="55">
        <v>4.586804665777076</v>
      </c>
      <c r="AA14">
        <f t="shared" si="0"/>
        <v>9.5958925979912617E-4</v>
      </c>
      <c r="AB14">
        <f t="shared" si="1"/>
        <v>1.1922018652111128E-3</v>
      </c>
    </row>
    <row r="15" spans="1:28" x14ac:dyDescent="0.75">
      <c r="A15" t="s">
        <v>105</v>
      </c>
      <c r="B15" s="20">
        <v>8.2486999999999995</v>
      </c>
      <c r="C15" s="19">
        <v>432</v>
      </c>
      <c r="D15" s="19">
        <v>58</v>
      </c>
      <c r="E15" s="44">
        <v>4787</v>
      </c>
      <c r="F15" s="19">
        <v>4435.21</v>
      </c>
      <c r="G15" s="19">
        <v>319.94</v>
      </c>
      <c r="H15" s="21">
        <v>3853</v>
      </c>
      <c r="I15" s="20">
        <v>0.83377148042320215</v>
      </c>
      <c r="J15" s="20">
        <v>0.47</v>
      </c>
      <c r="K15" s="21">
        <v>6033</v>
      </c>
      <c r="M15" t="s">
        <v>105</v>
      </c>
      <c r="N15" s="24">
        <v>164.4</v>
      </c>
      <c r="O15" s="24">
        <v>51.338199513382001</v>
      </c>
      <c r="P15" s="53">
        <v>198.08449999999999</v>
      </c>
      <c r="Q15" s="24">
        <v>1.8766613972691348</v>
      </c>
      <c r="R15" s="24">
        <v>51.590233639674977</v>
      </c>
      <c r="S15" s="24">
        <v>0.51497918640098284</v>
      </c>
      <c r="T15" s="20">
        <v>-5.2050993253196296</v>
      </c>
      <c r="U15" s="20">
        <v>7.4126045453599687E-3</v>
      </c>
      <c r="V15" s="54">
        <v>70.616534729839543</v>
      </c>
      <c r="W15" s="24">
        <v>3.2</v>
      </c>
      <c r="X15" s="24">
        <v>134.4846823079256</v>
      </c>
      <c r="Y15" s="55">
        <v>4.7332842156957913</v>
      </c>
      <c r="AA15">
        <f t="shared" si="0"/>
        <v>1.1994663910473086E-3</v>
      </c>
      <c r="AB15">
        <f t="shared" si="1"/>
        <v>1.4902272551112034E-3</v>
      </c>
    </row>
    <row r="17" spans="1:28" x14ac:dyDescent="0.75">
      <c r="M17" s="37" t="s">
        <v>106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8" ht="16.75" x14ac:dyDescent="0.75">
      <c r="A18" s="37" t="s">
        <v>106</v>
      </c>
      <c r="B18" s="38"/>
      <c r="C18" s="39"/>
      <c r="D18" s="39"/>
      <c r="E18" s="39"/>
      <c r="F18" s="39"/>
      <c r="G18" s="39"/>
      <c r="H18" s="39"/>
      <c r="I18" s="39"/>
      <c r="J18" s="39"/>
      <c r="K18" s="39"/>
      <c r="M18" s="48"/>
      <c r="N18" s="49" t="s">
        <v>116</v>
      </c>
      <c r="O18" s="21" t="s">
        <v>117</v>
      </c>
      <c r="P18" s="50"/>
      <c r="Q18" s="50"/>
      <c r="R18" s="49" t="s">
        <v>118</v>
      </c>
      <c r="S18" s="50"/>
      <c r="T18" s="50"/>
      <c r="U18" s="50"/>
      <c r="V18" s="50"/>
    </row>
    <row r="19" spans="1:28" ht="17.75" x14ac:dyDescent="0.95">
      <c r="B19" s="21" t="s">
        <v>79</v>
      </c>
      <c r="C19" s="21" t="s">
        <v>80</v>
      </c>
      <c r="D19" s="21" t="s">
        <v>81</v>
      </c>
      <c r="E19" s="21" t="s">
        <v>82</v>
      </c>
      <c r="F19" s="21" t="s">
        <v>83</v>
      </c>
      <c r="G19" s="21" t="s">
        <v>84</v>
      </c>
      <c r="H19" s="21" t="s">
        <v>85</v>
      </c>
      <c r="I19" s="40" t="s">
        <v>86</v>
      </c>
      <c r="J19" s="21" t="s">
        <v>87</v>
      </c>
      <c r="K19" s="21" t="s">
        <v>88</v>
      </c>
      <c r="N19" s="21" t="s">
        <v>119</v>
      </c>
      <c r="O19" s="21" t="s">
        <v>120</v>
      </c>
      <c r="P19" s="40" t="s">
        <v>121</v>
      </c>
      <c r="Q19" s="40" t="s">
        <v>122</v>
      </c>
      <c r="R19" s="21" t="s">
        <v>120</v>
      </c>
      <c r="S19" s="40" t="s">
        <v>122</v>
      </c>
      <c r="T19" s="21" t="s">
        <v>123</v>
      </c>
      <c r="U19" s="40" t="s">
        <v>122</v>
      </c>
      <c r="V19" s="40" t="s">
        <v>124</v>
      </c>
      <c r="W19" s="40" t="s">
        <v>122</v>
      </c>
      <c r="X19" s="40" t="s">
        <v>125</v>
      </c>
      <c r="Y19" s="40" t="s">
        <v>122</v>
      </c>
    </row>
    <row r="20" spans="1:28" ht="17.5" thickBot="1" x14ac:dyDescent="0.9">
      <c r="A20" s="41" t="s">
        <v>89</v>
      </c>
      <c r="B20" s="42" t="s">
        <v>90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92</v>
      </c>
      <c r="J20" s="42" t="s">
        <v>93</v>
      </c>
      <c r="K20" s="43" t="s">
        <v>94</v>
      </c>
      <c r="M20" s="41" t="s">
        <v>89</v>
      </c>
      <c r="N20" s="42" t="s">
        <v>126</v>
      </c>
      <c r="O20" s="42" t="s">
        <v>127</v>
      </c>
      <c r="P20" s="42" t="s">
        <v>128</v>
      </c>
      <c r="Q20" s="51" t="s">
        <v>129</v>
      </c>
      <c r="R20" s="42" t="s">
        <v>127</v>
      </c>
      <c r="S20" s="51" t="s">
        <v>129</v>
      </c>
      <c r="T20" s="52" t="s">
        <v>130</v>
      </c>
      <c r="U20" s="51" t="s">
        <v>129</v>
      </c>
      <c r="V20" s="52" t="s">
        <v>131</v>
      </c>
      <c r="W20" s="51" t="s">
        <v>129</v>
      </c>
      <c r="X20" s="52" t="s">
        <v>131</v>
      </c>
      <c r="Y20" s="51" t="s">
        <v>129</v>
      </c>
    </row>
    <row r="21" spans="1:28" s="63" customFormat="1" ht="15.5" thickTop="1" x14ac:dyDescent="0.75">
      <c r="A21" s="58" t="s">
        <v>107</v>
      </c>
      <c r="B21" s="59">
        <v>8.2509999999999994</v>
      </c>
      <c r="C21" s="60">
        <v>431.9</v>
      </c>
      <c r="D21" s="60">
        <v>58.300000000000004</v>
      </c>
      <c r="E21" s="60">
        <v>2393</v>
      </c>
      <c r="F21" s="60">
        <v>2213.48</v>
      </c>
      <c r="G21" s="60">
        <v>163.88</v>
      </c>
      <c r="H21" s="61">
        <v>4817</v>
      </c>
      <c r="I21" s="59">
        <v>0.63592937023527341</v>
      </c>
      <c r="J21" s="59">
        <v>0.46850000000000003</v>
      </c>
      <c r="K21" s="62">
        <v>13644</v>
      </c>
      <c r="M21" s="58" t="s">
        <v>132</v>
      </c>
      <c r="N21" s="64">
        <v>166.9</v>
      </c>
      <c r="O21" s="65">
        <v>52.067106051527865</v>
      </c>
      <c r="P21" s="66">
        <v>289.15516754562725</v>
      </c>
      <c r="Q21" s="65">
        <v>1.6488983497797942</v>
      </c>
      <c r="R21" s="66">
        <v>49.086219005472678</v>
      </c>
      <c r="S21" s="65">
        <v>0.31049603750720256</v>
      </c>
      <c r="T21" s="67">
        <v>-5.5957172056461202</v>
      </c>
      <c r="U21" s="67">
        <v>4.5111889836597641E-3</v>
      </c>
      <c r="V21" s="66">
        <v>41.158523152873158</v>
      </c>
      <c r="W21" s="65">
        <v>3.2</v>
      </c>
      <c r="X21" s="66">
        <v>81.202098138263608</v>
      </c>
      <c r="Y21" s="68">
        <v>5.0708953539192807</v>
      </c>
      <c r="AA21" s="63">
        <f t="shared" si="0"/>
        <v>9.0565062915493359E-4</v>
      </c>
      <c r="AB21" s="63">
        <f t="shared" si="1"/>
        <v>4.4991113879338927E-4</v>
      </c>
    </row>
    <row r="22" spans="1:28" s="63" customFormat="1" x14ac:dyDescent="0.75">
      <c r="A22" s="58" t="s">
        <v>108</v>
      </c>
      <c r="B22" s="59">
        <v>8.2507000000000001</v>
      </c>
      <c r="C22" s="69">
        <v>431.9</v>
      </c>
      <c r="D22" s="69">
        <v>58.2</v>
      </c>
      <c r="E22" s="69">
        <v>2393</v>
      </c>
      <c r="F22" s="69">
        <v>2213.58</v>
      </c>
      <c r="G22" s="69">
        <v>163.65</v>
      </c>
      <c r="H22" s="70">
        <v>4817</v>
      </c>
      <c r="I22" s="67">
        <v>0.63516744989615925</v>
      </c>
      <c r="J22" s="59">
        <v>0.46850000000000003</v>
      </c>
      <c r="K22" s="62">
        <v>11371</v>
      </c>
      <c r="M22" s="58" t="s">
        <v>133</v>
      </c>
      <c r="N22" s="64">
        <v>161.80000000000001</v>
      </c>
      <c r="O22" s="65">
        <v>50.556242274412853</v>
      </c>
      <c r="P22" s="62">
        <v>274.60000000000002</v>
      </c>
      <c r="Q22" s="65">
        <v>0.8</v>
      </c>
      <c r="R22" s="66">
        <v>46.76461831960313</v>
      </c>
      <c r="S22" s="65">
        <v>0.20249238884515885</v>
      </c>
      <c r="T22" s="67">
        <v>-5.5505263603902399</v>
      </c>
      <c r="U22" s="67">
        <v>2.9808151101597957E-3</v>
      </c>
      <c r="V22" s="66">
        <v>47.609713521631875</v>
      </c>
      <c r="W22" s="65">
        <v>3.2</v>
      </c>
      <c r="X22" s="66">
        <v>98.901641977180105</v>
      </c>
      <c r="Y22" s="68">
        <v>5.462557140123578</v>
      </c>
      <c r="AA22" s="63">
        <f t="shared" si="0"/>
        <v>1.1030544325169637E-3</v>
      </c>
      <c r="AB22" s="63">
        <f t="shared" si="1"/>
        <v>5.4797784035978702E-4</v>
      </c>
    </row>
    <row r="23" spans="1:28" s="63" customFormat="1" ht="15.5" thickBot="1" x14ac:dyDescent="0.9">
      <c r="A23" s="58" t="s">
        <v>109</v>
      </c>
      <c r="B23" s="59">
        <v>8.2510999999999992</v>
      </c>
      <c r="C23" s="69">
        <v>431.9</v>
      </c>
      <c r="D23" s="69">
        <v>58.300000000000004</v>
      </c>
      <c r="E23" s="69">
        <v>2393</v>
      </c>
      <c r="F23" s="69">
        <v>2213.58</v>
      </c>
      <c r="G23" s="69">
        <v>163.78999999999996</v>
      </c>
      <c r="H23" s="70">
        <v>4817</v>
      </c>
      <c r="I23" s="67">
        <v>0.63554857715353141</v>
      </c>
      <c r="J23" s="59">
        <v>0.46850000000000003</v>
      </c>
      <c r="K23" s="62">
        <v>11885</v>
      </c>
      <c r="M23" s="58" t="s">
        <v>134</v>
      </c>
      <c r="N23" s="64">
        <v>161.30000000000001</v>
      </c>
      <c r="O23" s="65">
        <v>50.40297582145071</v>
      </c>
      <c r="P23" s="62">
        <v>282.5</v>
      </c>
      <c r="Q23" s="65">
        <v>1.4</v>
      </c>
      <c r="R23" s="66">
        <v>48.024696251435621</v>
      </c>
      <c r="S23" s="65">
        <v>0.27556476169774685</v>
      </c>
      <c r="T23" s="67">
        <v>-5.5512440958934102</v>
      </c>
      <c r="U23" s="67">
        <v>4.0254840893201305E-3</v>
      </c>
      <c r="V23" s="66">
        <v>54.067801919890009</v>
      </c>
      <c r="W23" s="65">
        <v>3.2</v>
      </c>
      <c r="X23" s="66">
        <v>109.82104862394074</v>
      </c>
      <c r="Y23" s="68">
        <v>5.2493351730898814</v>
      </c>
      <c r="AA23" s="63">
        <f t="shared" si="0"/>
        <v>1.2248390627958383E-3</v>
      </c>
      <c r="AB23" s="63">
        <f t="shared" si="1"/>
        <v>6.084782805211628E-4</v>
      </c>
    </row>
    <row r="24" spans="1:28" s="63" customFormat="1" ht="15.5" thickBot="1" x14ac:dyDescent="0.9">
      <c r="A24" s="58"/>
      <c r="B24" s="59"/>
      <c r="C24" s="69"/>
      <c r="D24" s="69"/>
      <c r="E24" s="69"/>
      <c r="F24" s="69"/>
      <c r="G24" s="69"/>
      <c r="H24" s="70"/>
      <c r="I24" s="67"/>
      <c r="J24" s="59"/>
      <c r="K24" s="62"/>
      <c r="M24" s="58"/>
      <c r="N24" s="64"/>
      <c r="O24" s="65"/>
      <c r="P24" s="62"/>
      <c r="Q24" s="65"/>
      <c r="R24" s="66"/>
      <c r="S24" s="65"/>
      <c r="T24" s="67"/>
      <c r="U24" s="67"/>
      <c r="V24" s="66"/>
      <c r="W24" s="65"/>
      <c r="X24" s="66">
        <f>AVERAGE(X21:X23)</f>
        <v>96.641596246461475</v>
      </c>
      <c r="Y24" s="68"/>
      <c r="AA24" s="71">
        <f>AVERAGE(AA21:AA23)</f>
        <v>1.0778480414892452E-3</v>
      </c>
      <c r="AB24" s="72">
        <f>AVERAGE(AB21:AB23)</f>
        <v>5.3545575322477964E-4</v>
      </c>
    </row>
    <row r="25" spans="1:28" x14ac:dyDescent="0.75">
      <c r="A25" s="46" t="s">
        <v>110</v>
      </c>
      <c r="B25" s="45">
        <v>8.2500999999999998</v>
      </c>
      <c r="C25" s="19">
        <v>432</v>
      </c>
      <c r="D25" s="19">
        <v>58.300000000000004</v>
      </c>
      <c r="E25" s="19">
        <v>2393</v>
      </c>
      <c r="F25" s="19">
        <v>2210.4500000000003</v>
      </c>
      <c r="G25" s="19">
        <v>166.98</v>
      </c>
      <c r="H25" s="1">
        <v>5778</v>
      </c>
      <c r="I25" s="20">
        <v>0.71109426310787793</v>
      </c>
      <c r="J25" s="20">
        <v>0.47149999999999997</v>
      </c>
      <c r="K25" s="21">
        <v>9839</v>
      </c>
      <c r="M25" s="46" t="s">
        <v>110</v>
      </c>
      <c r="N25" s="21">
        <v>169.4</v>
      </c>
      <c r="O25" s="24">
        <v>52.774498229043687</v>
      </c>
      <c r="P25" s="53">
        <v>199.91200694444444</v>
      </c>
      <c r="Q25" s="24">
        <v>1.9427955231650511</v>
      </c>
      <c r="R25" s="24">
        <v>52.025366151472788</v>
      </c>
      <c r="S25" s="24">
        <v>0.52974911493711785</v>
      </c>
      <c r="T25" s="20">
        <v>-5.4112551053251901</v>
      </c>
      <c r="U25" s="20">
        <v>7.6169169223394562E-3</v>
      </c>
      <c r="V25" s="54">
        <v>72.847522547799528</v>
      </c>
      <c r="W25" s="24">
        <v>3.2052909921031789</v>
      </c>
      <c r="X25" s="24">
        <v>137.66948876956957</v>
      </c>
      <c r="Y25" s="55">
        <v>4.6794898235435118</v>
      </c>
      <c r="AA25">
        <f t="shared" si="0"/>
        <v>1.8413294122929932E-3</v>
      </c>
      <c r="AB25">
        <f t="shared" si="1"/>
        <v>7.625997375592128E-4</v>
      </c>
    </row>
    <row r="26" spans="1:28" x14ac:dyDescent="0.75">
      <c r="A26" s="46" t="s">
        <v>111</v>
      </c>
      <c r="B26" s="45">
        <v>8.2498000000000005</v>
      </c>
      <c r="C26" s="19">
        <v>432</v>
      </c>
      <c r="D26" s="19">
        <v>58.2</v>
      </c>
      <c r="E26" s="19">
        <v>2393</v>
      </c>
      <c r="F26" s="19">
        <v>2210.4500000000003</v>
      </c>
      <c r="G26" s="19">
        <v>166.88</v>
      </c>
      <c r="H26" s="1">
        <v>5778</v>
      </c>
      <c r="I26" s="20">
        <v>0.71109426310787793</v>
      </c>
      <c r="J26" s="20">
        <v>0.47149999999999997</v>
      </c>
      <c r="K26" s="21">
        <v>9806</v>
      </c>
      <c r="M26" s="46" t="s">
        <v>111</v>
      </c>
      <c r="N26" s="21">
        <v>167.7</v>
      </c>
      <c r="O26" s="24">
        <v>52.295766249254626</v>
      </c>
      <c r="P26" s="53">
        <v>196.9783888888889</v>
      </c>
      <c r="Q26" s="24">
        <v>0.23617366491630912</v>
      </c>
      <c r="R26" s="24">
        <v>51.326866702784059</v>
      </c>
      <c r="S26" s="24">
        <v>0.26083641982709621</v>
      </c>
      <c r="T26" s="20">
        <v>-5.4198515099713402</v>
      </c>
      <c r="U26" s="20">
        <v>3.7578827954796168E-3</v>
      </c>
      <c r="V26" s="54">
        <v>72.69658104013385</v>
      </c>
      <c r="W26" s="24">
        <v>3.1986495657658893</v>
      </c>
      <c r="X26" s="24">
        <v>139.21419860890424</v>
      </c>
      <c r="Y26" s="55">
        <v>4.7322546883078163</v>
      </c>
      <c r="AA26">
        <f t="shared" si="0"/>
        <v>1.8619899063940944E-3</v>
      </c>
      <c r="AB26">
        <f t="shared" si="1"/>
        <v>7.7115642886830518E-4</v>
      </c>
    </row>
    <row r="27" spans="1:28" x14ac:dyDescent="0.75">
      <c r="A27" s="46" t="s">
        <v>112</v>
      </c>
      <c r="B27" s="20">
        <v>8.2502999999999993</v>
      </c>
      <c r="C27" s="19">
        <v>432</v>
      </c>
      <c r="D27" s="19">
        <v>58.300000000000004</v>
      </c>
      <c r="E27" s="19">
        <v>2393</v>
      </c>
      <c r="F27" s="19">
        <v>2210.4500000000003</v>
      </c>
      <c r="G27" s="19">
        <v>167.06000000000003</v>
      </c>
      <c r="H27" s="1">
        <v>5778</v>
      </c>
      <c r="I27" s="20">
        <v>0.71147774611902248</v>
      </c>
      <c r="J27" s="20">
        <v>0.47149999999999997</v>
      </c>
      <c r="K27" s="21">
        <v>9940</v>
      </c>
      <c r="M27" s="46" t="s">
        <v>112</v>
      </c>
      <c r="N27" s="21">
        <v>168.2</v>
      </c>
      <c r="O27" s="24">
        <v>52.437574316290139</v>
      </c>
      <c r="P27" s="53">
        <v>199.66038888888886</v>
      </c>
      <c r="Q27" s="24">
        <v>2.1213203435577133E-2</v>
      </c>
      <c r="R27" s="24">
        <v>51.965455464479007</v>
      </c>
      <c r="S27" s="24">
        <v>0.25792103778190928</v>
      </c>
      <c r="T27" s="20">
        <v>-5.41655226542386</v>
      </c>
      <c r="U27" s="20">
        <v>3.7095878770596613E-3</v>
      </c>
      <c r="V27" s="24">
        <v>74.934980265416598</v>
      </c>
      <c r="W27" s="24">
        <v>3.2975232694588619</v>
      </c>
      <c r="X27" s="24">
        <v>141.8422749432695</v>
      </c>
      <c r="Y27" s="55">
        <v>4.703652482359769</v>
      </c>
      <c r="AA27">
        <f t="shared" si="0"/>
        <v>1.8971404273662299E-3</v>
      </c>
      <c r="AB27">
        <f t="shared" si="1"/>
        <v>7.8571426837787935E-4</v>
      </c>
    </row>
    <row r="28" spans="1:28" x14ac:dyDescent="0.75">
      <c r="A28" s="47" t="s">
        <v>113</v>
      </c>
      <c r="B28" s="45">
        <v>8.2491000000000003</v>
      </c>
      <c r="C28" s="19">
        <v>432.09999999999997</v>
      </c>
      <c r="D28" s="19">
        <v>58.2</v>
      </c>
      <c r="E28" s="19">
        <v>2394</v>
      </c>
      <c r="F28" s="19">
        <v>2204.1499999999996</v>
      </c>
      <c r="G28" s="19">
        <v>173.60999999999999</v>
      </c>
      <c r="H28" s="1">
        <v>7706</v>
      </c>
      <c r="I28" s="20">
        <v>0.83068209581348329</v>
      </c>
      <c r="J28" s="20">
        <v>0.4773</v>
      </c>
      <c r="K28" s="21">
        <v>7580</v>
      </c>
      <c r="M28" s="47" t="s">
        <v>113</v>
      </c>
      <c r="N28" s="21">
        <v>169.3</v>
      </c>
      <c r="O28" s="24">
        <v>52.746603662138213</v>
      </c>
      <c r="P28" s="56">
        <v>196.84988888888887</v>
      </c>
      <c r="Q28" s="24">
        <v>1.4651252506185284</v>
      </c>
      <c r="R28" s="24">
        <v>51.296270634224093</v>
      </c>
      <c r="S28" s="24">
        <v>0.4318467596842378</v>
      </c>
      <c r="T28" s="20">
        <v>-5.3084697288572897</v>
      </c>
      <c r="U28" s="20">
        <v>6.2214245347789188E-3</v>
      </c>
      <c r="V28" s="57">
        <v>98.374727751881494</v>
      </c>
      <c r="W28" s="24">
        <v>4.3284880210827854</v>
      </c>
      <c r="X28" s="24">
        <v>189.35421766942494</v>
      </c>
      <c r="Y28" s="55">
        <v>5.5734903804403153</v>
      </c>
      <c r="AA28">
        <f t="shared" si="0"/>
        <v>3.3769118291149939E-3</v>
      </c>
      <c r="AB28">
        <f t="shared" si="1"/>
        <v>1.0490951101610815E-3</v>
      </c>
    </row>
    <row r="29" spans="1:28" x14ac:dyDescent="0.75">
      <c r="A29" s="46" t="s">
        <v>114</v>
      </c>
      <c r="B29" s="45">
        <v>8.2492999999999999</v>
      </c>
      <c r="C29" s="19">
        <v>432.09999999999997</v>
      </c>
      <c r="D29" s="19">
        <v>58.2</v>
      </c>
      <c r="E29" s="19">
        <v>2394</v>
      </c>
      <c r="F29" s="19">
        <v>2204.14</v>
      </c>
      <c r="G29" s="19">
        <v>173.7</v>
      </c>
      <c r="H29" s="1">
        <v>7706</v>
      </c>
      <c r="I29" s="20">
        <v>0.830465111306395</v>
      </c>
      <c r="J29" s="20">
        <v>0.4773</v>
      </c>
      <c r="K29" s="21">
        <v>7680</v>
      </c>
      <c r="M29" s="46" t="s">
        <v>114</v>
      </c>
      <c r="N29" s="21">
        <v>163.9</v>
      </c>
      <c r="O29" s="24">
        <v>51.189749847467972</v>
      </c>
      <c r="P29" s="56">
        <v>196.08388888888888</v>
      </c>
      <c r="Q29" s="24">
        <v>0.33092597359527659</v>
      </c>
      <c r="R29" s="24">
        <v>51.113884731368643</v>
      </c>
      <c r="S29" s="24">
        <v>0.26560248079580712</v>
      </c>
      <c r="T29" s="20">
        <v>-5.3167908540339699</v>
      </c>
      <c r="U29" s="20">
        <v>3.8289716693000742E-3</v>
      </c>
      <c r="V29" s="57">
        <v>100.45922200566879</v>
      </c>
      <c r="W29" s="24">
        <v>4.4202057682494269</v>
      </c>
      <c r="X29" s="24">
        <v>194.09890610633767</v>
      </c>
      <c r="Y29" s="55">
        <v>5.6331246037400771</v>
      </c>
      <c r="AA29">
        <f t="shared" si="0"/>
        <v>3.461527818688818E-3</v>
      </c>
      <c r="AB29">
        <f t="shared" si="1"/>
        <v>1.0753825068701051E-3</v>
      </c>
    </row>
    <row r="30" spans="1:28" x14ac:dyDescent="0.75">
      <c r="A30" s="46" t="s">
        <v>115</v>
      </c>
      <c r="B30" s="45">
        <v>8.2494999999999994</v>
      </c>
      <c r="C30" s="19">
        <v>432.09999999999997</v>
      </c>
      <c r="D30" s="19">
        <v>58.300000000000004</v>
      </c>
      <c r="E30" s="19">
        <v>2394</v>
      </c>
      <c r="F30" s="19">
        <v>2204.14</v>
      </c>
      <c r="G30" s="19">
        <v>173.76000000000002</v>
      </c>
      <c r="H30" s="1">
        <v>7706</v>
      </c>
      <c r="I30" s="20">
        <v>0.83085270123118649</v>
      </c>
      <c r="J30" s="20">
        <v>0.4773</v>
      </c>
      <c r="K30" s="21">
        <v>7535</v>
      </c>
      <c r="M30" s="46" t="s">
        <v>115</v>
      </c>
      <c r="N30" s="21">
        <v>168.9</v>
      </c>
      <c r="O30" s="24">
        <v>52.634695085849614</v>
      </c>
      <c r="P30" s="56">
        <v>197.03488888888887</v>
      </c>
      <c r="Q30" s="24">
        <v>2.2429427099237467</v>
      </c>
      <c r="R30" s="24">
        <v>51.34031944888239</v>
      </c>
      <c r="S30" s="24">
        <v>0.59170535903300914</v>
      </c>
      <c r="T30" s="20">
        <v>-5.3052490409748803</v>
      </c>
      <c r="U30" s="20">
        <v>8.5223959485798417E-3</v>
      </c>
      <c r="V30" s="57">
        <v>98.706844287087506</v>
      </c>
      <c r="W30" s="24">
        <v>4.3431011486318498</v>
      </c>
      <c r="X30" s="24">
        <v>189.84083815972349</v>
      </c>
      <c r="Y30" s="55">
        <v>5.6316101451036111</v>
      </c>
      <c r="AA30">
        <f t="shared" si="0"/>
        <v>3.3855901385300381E-3</v>
      </c>
      <c r="AB30">
        <f t="shared" si="1"/>
        <v>1.0517911746224903E-3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H14" sqref="H14"/>
    </sheetView>
  </sheetViews>
  <sheetFormatPr defaultRowHeight="14.75" x14ac:dyDescent="0.75"/>
  <sheetData>
    <row r="1" spans="1:2" x14ac:dyDescent="0.75">
      <c r="A1" s="8" t="s">
        <v>55</v>
      </c>
      <c r="B1" s="7">
        <v>-2.7950434398803258E-3</v>
      </c>
    </row>
    <row r="2" spans="1:2" x14ac:dyDescent="0.75">
      <c r="A2" s="8" t="s">
        <v>56</v>
      </c>
      <c r="B2" s="7">
        <v>2.4225215344045826E-3</v>
      </c>
    </row>
    <row r="3" spans="1:2" x14ac:dyDescent="0.75">
      <c r="A3" s="25" t="s">
        <v>57</v>
      </c>
      <c r="B3" s="7">
        <v>-1.3248460432110473E-4</v>
      </c>
    </row>
    <row r="4" spans="1:2" x14ac:dyDescent="0.75">
      <c r="A4" s="25" t="s">
        <v>58</v>
      </c>
      <c r="B4" s="7">
        <v>-5.3824328630491039E-3</v>
      </c>
    </row>
    <row r="5" spans="1:2" x14ac:dyDescent="0.75">
      <c r="A5" s="25" t="s">
        <v>59</v>
      </c>
      <c r="B5" s="7">
        <v>2.5686412600024406E-3</v>
      </c>
    </row>
    <row r="6" spans="1:2" x14ac:dyDescent="0.75">
      <c r="A6" s="25" t="s">
        <v>60</v>
      </c>
      <c r="B6" s="7">
        <v>-8.2773863720559337E-6</v>
      </c>
    </row>
    <row r="7" spans="1:2" x14ac:dyDescent="0.75">
      <c r="A7" s="25" t="s">
        <v>61</v>
      </c>
      <c r="B7" s="7">
        <v>4.9484690990669773E-3</v>
      </c>
    </row>
    <row r="8" spans="1:2" x14ac:dyDescent="0.75">
      <c r="A8" s="25" t="s">
        <v>62</v>
      </c>
      <c r="B8" s="7">
        <v>5.1173249477356004E-3</v>
      </c>
    </row>
    <row r="9" spans="1:2" x14ac:dyDescent="0.75">
      <c r="A9" s="25" t="s">
        <v>63</v>
      </c>
      <c r="B9" s="7">
        <v>8.1693402101967339E-3</v>
      </c>
    </row>
    <row r="10" spans="1:2" x14ac:dyDescent="0.75">
      <c r="A10" s="25" t="s">
        <v>64</v>
      </c>
      <c r="B10" s="7">
        <v>8.4200500789984849E-3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3900582242140A83C237CD9935A34" ma:contentTypeVersion="10" ma:contentTypeDescription="Create a new document." ma:contentTypeScope="" ma:versionID="af59377153cae4151cc710fafad2ba3e">
  <xsd:schema xmlns:xsd="http://www.w3.org/2001/XMLSchema" xmlns:xs="http://www.w3.org/2001/XMLSchema" xmlns:p="http://schemas.microsoft.com/office/2006/metadata/properties" xmlns:ns3="945fbf66-d46d-4af0-a702-f23846315a90" targetNamespace="http://schemas.microsoft.com/office/2006/metadata/properties" ma:root="true" ma:fieldsID="62cf4ed2594923d6db171167065e24db" ns3:_="">
    <xsd:import namespace="945fbf66-d46d-4af0-a702-f23846315a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fbf66-d46d-4af0-a702-f23846315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FBA793-19E3-4C70-B10F-76502D6B2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fbf66-d46d-4af0-a702-f23846315a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D88270-31FD-493C-BC4A-2A19372022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42E672-CB1A-4B9D-A97D-80F93D9C22C6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945fbf66-d46d-4af0-a702-f23846315a9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calibration</vt:lpstr>
      <vt:lpstr>X-Ca ratios</vt:lpstr>
      <vt:lpstr>Summary</vt:lpstr>
      <vt:lpstr>Fractionation factor</vt:lpstr>
      <vt:lpstr>Uchikawa</vt:lpstr>
      <vt:lpstr>Sheet1</vt:lpstr>
    </vt:vector>
  </TitlesOfParts>
  <Manager/>
  <Company>Department of Earth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 Jurkovic</dc:creator>
  <cp:keywords/>
  <dc:description/>
  <cp:lastModifiedBy>Lara Štajner</cp:lastModifiedBy>
  <cp:revision/>
  <dcterms:created xsi:type="dcterms:W3CDTF">2021-12-15T12:04:42Z</dcterms:created>
  <dcterms:modified xsi:type="dcterms:W3CDTF">2022-05-04T16:36:19Z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0x010100C063900582242140A83C237CD9935A34</vt:lpwstr>
  </property>
</Properties>
</file>